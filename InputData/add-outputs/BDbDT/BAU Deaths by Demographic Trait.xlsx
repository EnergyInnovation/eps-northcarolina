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9A13AE01-F158-4F06-BA6C-1BCA5649F62A}"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M4" i="11" s="1"/>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<sst xmlns="http://schemas.openxmlformats.org/spreadsheetml/2006/main" count="5677" uniqueCount="335">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</sst>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138</v>
      </c>
    </row>
    <row r="2" spans="1:2" x14ac:dyDescent="0.25">
      <c r="A2" s="3" t="s">
        <v>2</v>
      </c>
      <c r="B2" s="4" t="str">
        <f>IFERROR(INDEX(Geography!B:B, MATCH($B$1, Geography!C:C, 0)), "")</f>
        <v>NC</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5393918</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0.9849827867863965</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5652106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1.0147645437882244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7677270</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0.92488541747094766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2425031</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1.6070306256410571</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441856</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0.61949770514593361</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501867</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0.95962568604305509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1327268</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0.61575372833714515</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9718756</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11046024</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1.0931611277299598</v>
      </c>
    </row>
    <row r="12" spans="1:28" x14ac:dyDescent="0.25">
      <c r="A12" s="4" t="s">
        <v>319</v>
      </c>
    </row>
    <row r="13" spans="1:28" x14ac:dyDescent="0.25">
      <c r="A13" s="4" t="s">
        <v>320</v>
      </c>
      <c r="B13" s="37">
        <f>INDEX(Census_pop_2020_2025!G:G, MATCH("."&amp;About!$B$1, Census_pop_2020_2025!A:A, 0))</f>
        <v>11052061</v>
      </c>
      <c r="C13" s="37">
        <f>INDEX(Census_pop_2020_2025!H:H, MATCH("."&amp;About!$B$1, Census_pop_2020_2025!A:A, 0))</f>
        <v>11197968</v>
      </c>
      <c r="D13" s="37">
        <f>INDEX(Census_pop_2020_2025!H:H, MATCH("."&amp;About!$B$1, Census_pop_2020_2025!A:A, 0))+0.2*(INDEX(Cooper_pop_2030_2050!D:D, MATCH(About!$B$1, Cooper_pop_2030_2050!B:B, 0))-INDEX(Census_pop_2020_2025!H:H, MATCH("."&amp;About!$B$1, Census_pop_2020_2025!A:A, 0)))</f>
        <v>11190406.212122211</v>
      </c>
      <c r="E13" s="37">
        <f>INDEX(Census_pop_2020_2025!H:H, MATCH("."&amp;About!$B$1, Census_pop_2020_2025!A:A, 0))+0.4*(INDEX(Cooper_pop_2030_2050!D:D, MATCH(About!$B$1, Cooper_pop_2030_2050!B:B, 0))-INDEX(Census_pop_2020_2025!H:H, MATCH("."&amp;About!$B$1, Census_pop_2020_2025!A:A, 0)))</f>
        <v>11182844.424244424</v>
      </c>
      <c r="F13" s="37">
        <f>INDEX(Census_pop_2020_2025!H:H, MATCH("."&amp;About!$B$1, Census_pop_2020_2025!A:A, 0))+0.6*(INDEX(Cooper_pop_2030_2050!D:D, MATCH(About!$B$1, Cooper_pop_2030_2050!B:B, 0))-INDEX(Census_pop_2020_2025!H:H, MATCH("."&amp;About!$B$1, Census_pop_2020_2025!A:A, 0)))</f>
        <v>11175282.636366636</v>
      </c>
      <c r="G13" s="37">
        <f>INDEX(Census_pop_2020_2025!H:H, MATCH("."&amp;About!$B$1, Census_pop_2020_2025!A:A, 0))+0.8*(INDEX(Cooper_pop_2030_2050!D:D, MATCH(About!$B$1, Cooper_pop_2030_2050!B:B, 0))-INDEX(Census_pop_2020_2025!H:H, MATCH("."&amp;About!$B$1, Census_pop_2020_2025!A:A, 0)))</f>
        <v>11167720.848488849</v>
      </c>
      <c r="H13" s="37">
        <f>INDEX(Cooper_pop_2030_2050!D:D, MATCH(About!$B$1, Cooper_pop_2030_2050!B:B, 0))</f>
        <v>11160159.06061106</v>
      </c>
      <c r="I13" s="37">
        <f>INDEX(Cooper_pop_2030_2050!D:D, MATCH(About!$B$1, Cooper_pop_2030_2050!B:B, 0))+0.1*(INDEX(Cooper_pop_2030_2050!E:E, MATCH(About!$B$1, Cooper_pop_2030_2050!B:B, 0))-INDEX(Cooper_pop_2030_2050!D:D, MATCH(About!$B$1, Cooper_pop_2030_2050!B:B, 0)))</f>
        <v>11218848.250198275</v>
      </c>
      <c r="J13" s="37">
        <f>INDEX(Cooper_pop_2030_2050!D:D, MATCH(About!$B$1, Cooper_pop_2030_2050!B:B, 0))+0.2*(INDEX(Cooper_pop_2030_2050!E:E, MATCH(About!$B$1, Cooper_pop_2030_2050!B:B, 0))-INDEX(Cooper_pop_2030_2050!D:D, MATCH(About!$B$1, Cooper_pop_2030_2050!B:B, 0)))</f>
        <v>11277537.43978549</v>
      </c>
      <c r="K13" s="37">
        <f>INDEX(Cooper_pop_2030_2050!D:D, MATCH(About!$B$1, Cooper_pop_2030_2050!B:B, 0))+0.3*(INDEX(Cooper_pop_2030_2050!E:E, MATCH(About!$B$1, Cooper_pop_2030_2050!B:B, 0))-INDEX(Cooper_pop_2030_2050!D:D, MATCH(About!$B$1, Cooper_pop_2030_2050!B:B, 0)))</f>
        <v>11336226.629372705</v>
      </c>
      <c r="L13" s="37">
        <f>INDEX(Cooper_pop_2030_2050!D:D, MATCH(About!$B$1, Cooper_pop_2030_2050!B:B, 0))+0.4*(INDEX(Cooper_pop_2030_2050!E:E, MATCH(About!$B$1, Cooper_pop_2030_2050!B:B, 0))-INDEX(Cooper_pop_2030_2050!D:D, MATCH(About!$B$1, Cooper_pop_2030_2050!B:B, 0)))</f>
        <v>11394915.81895992</v>
      </c>
      <c r="M13" s="37">
        <f>INDEX(Cooper_pop_2030_2050!D:D, MATCH(About!$B$1, Cooper_pop_2030_2050!B:B, 0))+0.5*(INDEX(Cooper_pop_2030_2050!E:E, MATCH(About!$B$1, Cooper_pop_2030_2050!B:B, 0))-INDEX(Cooper_pop_2030_2050!D:D, MATCH(About!$B$1, Cooper_pop_2030_2050!B:B, 0)))</f>
        <v>11453605.008547135</v>
      </c>
      <c r="N13" s="37">
        <f>INDEX(Cooper_pop_2030_2050!D:D, MATCH(About!$B$1, Cooper_pop_2030_2050!B:B, 0))+0.6*(INDEX(Cooper_pop_2030_2050!E:E, MATCH(About!$B$1, Cooper_pop_2030_2050!B:B, 0))-INDEX(Cooper_pop_2030_2050!D:D, MATCH(About!$B$1, Cooper_pop_2030_2050!B:B, 0)))</f>
        <v>11512294.19813435</v>
      </c>
      <c r="O13" s="37">
        <f>INDEX(Cooper_pop_2030_2050!D:D, MATCH(About!$B$1, Cooper_pop_2030_2050!B:B, 0))+0.7*(INDEX(Cooper_pop_2030_2050!E:E, MATCH(About!$B$1, Cooper_pop_2030_2050!B:B, 0))-INDEX(Cooper_pop_2030_2050!D:D, MATCH(About!$B$1, Cooper_pop_2030_2050!B:B, 0)))</f>
        <v>11570983.387721565</v>
      </c>
      <c r="P13" s="37">
        <f>INDEX(Cooper_pop_2030_2050!D:D, MATCH(About!$B$1, Cooper_pop_2030_2050!B:B, 0))+0.8*(INDEX(Cooper_pop_2030_2050!E:E, MATCH(About!$B$1, Cooper_pop_2030_2050!B:B, 0))-INDEX(Cooper_pop_2030_2050!D:D, MATCH(About!$B$1, Cooper_pop_2030_2050!B:B, 0)))</f>
        <v>11629672.57730878</v>
      </c>
      <c r="Q13" s="37">
        <f>INDEX(Cooper_pop_2030_2050!D:D, MATCH(About!$B$1, Cooper_pop_2030_2050!B:B, 0))+0.9*(INDEX(Cooper_pop_2030_2050!E:E, MATCH(About!$B$1, Cooper_pop_2030_2050!B:B, 0))-INDEX(Cooper_pop_2030_2050!D:D, MATCH(About!$B$1, Cooper_pop_2030_2050!B:B, 0)))</f>
        <v>11688361.766895995</v>
      </c>
      <c r="R13" s="37">
        <f>INDEX(Cooper_pop_2030_2050!E:E, MATCH(About!$B$1, Cooper_pop_2030_2050!B:B, 0))</f>
        <v>11747050.95648321</v>
      </c>
      <c r="S13" s="37">
        <f>INDEX(Cooper_pop_2030_2050!E:E, MATCH(About!$B$1, Cooper_pop_2030_2050!B:B, 0))+0.1*(INDEX(Cooper_pop_2030_2050!F:F, MATCH(About!$B$1, Cooper_pop_2030_2050!B:B, 0))-INDEX(Cooper_pop_2030_2050!E:E, MATCH(About!$B$1, Cooper_pop_2030_2050!B:B, 0)))</f>
        <v>11794337.547827594</v>
      </c>
      <c r="T13" s="37">
        <f>INDEX(Cooper_pop_2030_2050!E:E, MATCH(About!$B$1, Cooper_pop_2030_2050!B:B, 0))+0.2*(INDEX(Cooper_pop_2030_2050!F:F, MATCH(About!$B$1, Cooper_pop_2030_2050!B:B, 0))-INDEX(Cooper_pop_2030_2050!E:E, MATCH(About!$B$1, Cooper_pop_2030_2050!B:B, 0)))</f>
        <v>11841624.13917198</v>
      </c>
      <c r="U13" s="37">
        <f>INDEX(Cooper_pop_2030_2050!E:E, MATCH(About!$B$1, Cooper_pop_2030_2050!B:B, 0))+0.3*(INDEX(Cooper_pop_2030_2050!F:F, MATCH(About!$B$1, Cooper_pop_2030_2050!B:B, 0))-INDEX(Cooper_pop_2030_2050!E:E, MATCH(About!$B$1, Cooper_pop_2030_2050!B:B, 0)))</f>
        <v>11888910.730516365</v>
      </c>
      <c r="V13" s="37">
        <f>INDEX(Cooper_pop_2030_2050!E:E, MATCH(About!$B$1, Cooper_pop_2030_2050!B:B, 0))+0.4*(INDEX(Cooper_pop_2030_2050!F:F, MATCH(About!$B$1, Cooper_pop_2030_2050!B:B, 0))-INDEX(Cooper_pop_2030_2050!E:E, MATCH(About!$B$1, Cooper_pop_2030_2050!B:B, 0)))</f>
        <v>11936197.321860749</v>
      </c>
      <c r="W13" s="37">
        <f>INDEX(Cooper_pop_2030_2050!E:E, MATCH(About!$B$1, Cooper_pop_2030_2050!B:B, 0))+0.5*(INDEX(Cooper_pop_2030_2050!F:F, MATCH(About!$B$1, Cooper_pop_2030_2050!B:B, 0))-INDEX(Cooper_pop_2030_2050!E:E, MATCH(About!$B$1, Cooper_pop_2030_2050!B:B, 0)))</f>
        <v>11983483.913205136</v>
      </c>
      <c r="X13" s="37">
        <f>INDEX(Cooper_pop_2030_2050!E:E, MATCH(About!$B$1, Cooper_pop_2030_2050!B:B, 0))+0.6*(INDEX(Cooper_pop_2030_2050!F:F, MATCH(About!$B$1, Cooper_pop_2030_2050!B:B, 0))-INDEX(Cooper_pop_2030_2050!E:E, MATCH(About!$B$1, Cooper_pop_2030_2050!B:B, 0)))</f>
        <v>12030770.50454952</v>
      </c>
      <c r="Y13" s="37">
        <f>INDEX(Cooper_pop_2030_2050!E:E, MATCH(About!$B$1, Cooper_pop_2030_2050!B:B, 0))+0.7*(INDEX(Cooper_pop_2030_2050!F:F, MATCH(About!$B$1, Cooper_pop_2030_2050!B:B, 0))-INDEX(Cooper_pop_2030_2050!E:E, MATCH(About!$B$1, Cooper_pop_2030_2050!B:B, 0)))</f>
        <v>12078057.095893905</v>
      </c>
      <c r="Z13" s="37">
        <f>INDEX(Cooper_pop_2030_2050!E:E, MATCH(About!$B$1, Cooper_pop_2030_2050!B:B, 0))+0.8*(INDEX(Cooper_pop_2030_2050!F:F, MATCH(About!$B$1, Cooper_pop_2030_2050!B:B, 0))-INDEX(Cooper_pop_2030_2050!E:E, MATCH(About!$B$1, Cooper_pop_2030_2050!B:B, 0)))</f>
        <v>12125343.687238289</v>
      </c>
      <c r="AA13" s="37">
        <f>INDEX(Cooper_pop_2030_2050!E:E, MATCH(About!$B$1, Cooper_pop_2030_2050!B:B, 0))+0.9*(INDEX(Cooper_pop_2030_2050!F:F, MATCH(About!$B$1, Cooper_pop_2030_2050!B:B, 0))-INDEX(Cooper_pop_2030_2050!E:E, MATCH(About!$B$1, Cooper_pop_2030_2050!B:B, 0)))</f>
        <v>12172630.278582675</v>
      </c>
      <c r="AB13" s="37">
        <f>INDEX(Cooper_pop_2030_2050!F:F, MATCH(About!$B$1, Cooper_pop_2030_2050!B:B, 0))</f>
        <v>12219916.86992706</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3.2845904036138997E-2</v>
      </c>
      <c r="C15" s="39">
        <f t="shared" si="1"/>
        <v>3.3128489242288194E-2</v>
      </c>
      <c r="D15" s="39">
        <f t="shared" si="1"/>
        <v>3.2960165675290067E-2</v>
      </c>
      <c r="E15" s="39">
        <f t="shared" si="1"/>
        <v>3.2797102844477267E-2</v>
      </c>
      <c r="F15" s="39">
        <f t="shared" si="1"/>
        <v>3.2639542955984389E-2</v>
      </c>
      <c r="G15" s="39">
        <f t="shared" si="1"/>
        <v>3.2487556911012655E-2</v>
      </c>
      <c r="H15" s="39">
        <f t="shared" si="1"/>
        <v>3.2341390916487793E-2</v>
      </c>
      <c r="I15" s="39">
        <f t="shared" si="1"/>
        <v>3.2392654880153221E-2</v>
      </c>
      <c r="J15" s="39">
        <f t="shared" si="1"/>
        <v>3.2449133953215734E-2</v>
      </c>
      <c r="K15" s="39">
        <f t="shared" si="1"/>
        <v>3.2509801323810456E-2</v>
      </c>
      <c r="L15" s="39">
        <f t="shared" si="1"/>
        <v>3.2574804801108075E-2</v>
      </c>
      <c r="M15" s="39">
        <f t="shared" si="1"/>
        <v>3.2644272992518986E-2</v>
      </c>
      <c r="N15" s="39">
        <f t="shared" si="1"/>
        <v>3.2718306462948467E-2</v>
      </c>
      <c r="O15" s="39">
        <f t="shared" si="1"/>
        <v>3.2797009819170032E-2</v>
      </c>
      <c r="P15" s="39">
        <f t="shared" si="1"/>
        <v>3.2880449019313647E-2</v>
      </c>
      <c r="Q15" s="39">
        <f t="shared" si="1"/>
        <v>3.296862497753044E-2</v>
      </c>
      <c r="R15" s="39">
        <f t="shared" si="1"/>
        <v>3.306150113470286E-2</v>
      </c>
      <c r="S15" s="39">
        <f t="shared" si="1"/>
        <v>3.3127040358182189E-2</v>
      </c>
      <c r="T15" s="39">
        <f t="shared" si="1"/>
        <v>3.3197206931181132E-2</v>
      </c>
      <c r="U15" s="39">
        <f t="shared" si="1"/>
        <v>3.3271757024707735E-2</v>
      </c>
      <c r="V15" s="39">
        <f t="shared" si="1"/>
        <v>3.3350332860662253E-2</v>
      </c>
      <c r="W15" s="39">
        <f t="shared" si="1"/>
        <v>3.3432517801915855E-2</v>
      </c>
      <c r="X15" s="39">
        <f t="shared" si="1"/>
        <v>3.3517876676226049E-2</v>
      </c>
      <c r="Y15" s="39">
        <f t="shared" si="1"/>
        <v>3.360613849164968E-2</v>
      </c>
      <c r="Z15" s="39">
        <f t="shared" si="1"/>
        <v>3.3696883228469678E-2</v>
      </c>
      <c r="AA15" s="39">
        <f t="shared" si="1"/>
        <v>3.3789678598744842E-2</v>
      </c>
      <c r="AB15" s="39">
        <f t="shared" si="1"/>
        <v>3.3884094296779167E-2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304.47079001613889</v>
      </c>
      <c r="C48" s="37">
        <f t="shared" si="10"/>
        <v>304.77346206603301</v>
      </c>
      <c r="D48" s="37">
        <f t="shared" si="10"/>
        <v>300.88743504316017</v>
      </c>
      <c r="E48" s="37">
        <f t="shared" si="10"/>
        <v>297.07293384908098</v>
      </c>
      <c r="F48" s="37">
        <f t="shared" si="10"/>
        <v>293.266717155565</v>
      </c>
      <c r="G48" s="37">
        <f t="shared" si="10"/>
        <v>289.46914455855432</v>
      </c>
      <c r="H48" s="37">
        <f t="shared" si="10"/>
        <v>285.68203735392251</v>
      </c>
      <c r="I48" s="37">
        <f t="shared" si="10"/>
        <v>283.74190307751638</v>
      </c>
      <c r="J48" s="37">
        <f t="shared" si="10"/>
        <v>281.61575805467339</v>
      </c>
      <c r="K48" s="37">
        <f t="shared" si="10"/>
        <v>279.54852178162446</v>
      </c>
      <c r="L48" s="37">
        <f t="shared" si="10"/>
        <v>277.31603104987437</v>
      </c>
      <c r="M48" s="37">
        <f t="shared" si="10"/>
        <v>275.14218004882451</v>
      </c>
      <c r="N48" s="37">
        <f t="shared" si="10"/>
        <v>273.05910561552622</v>
      </c>
      <c r="O48" s="37">
        <f t="shared" si="10"/>
        <v>270.61471381856524</v>
      </c>
      <c r="P48" s="37">
        <f t="shared" si="10"/>
        <v>268.29122651750896</v>
      </c>
      <c r="Q48" s="37">
        <f t="shared" si="10"/>
        <v>265.79582755484171</v>
      </c>
      <c r="R48" s="37">
        <f t="shared" si="10"/>
        <v>263.28810199346498</v>
      </c>
      <c r="S48" s="37">
        <f t="shared" si="10"/>
        <v>260.44918407836195</v>
      </c>
      <c r="T48" s="37">
        <f t="shared" si="10"/>
        <v>257.63287920780721</v>
      </c>
      <c r="U48" s="37">
        <f t="shared" si="10"/>
        <v>254.83591146178514</v>
      </c>
      <c r="V48" s="37">
        <f t="shared" si="10"/>
        <v>252.0542426677512</v>
      </c>
      <c r="W48" s="37">
        <f t="shared" si="10"/>
        <v>249.31647142694766</v>
      </c>
      <c r="X48" s="37">
        <f t="shared" si="10"/>
        <v>246.84965259159785</v>
      </c>
      <c r="Y48" s="37">
        <f t="shared" si="10"/>
        <v>244.3881378352379</v>
      </c>
      <c r="Z48" s="37">
        <f t="shared" si="10"/>
        <v>242.09405952358472</v>
      </c>
      <c r="AA48" s="37">
        <f t="shared" si="10"/>
        <v>239.83190640456502</v>
      </c>
      <c r="AB48" s="37">
        <f t="shared" si="10"/>
        <v>237.56502685334672</v>
      </c>
    </row>
    <row r="49" spans="1:28" x14ac:dyDescent="0.25">
      <c r="A49" s="4" t="s">
        <v>216</v>
      </c>
      <c r="B49" s="37">
        <f t="shared" ref="B49:AB49" si="11">B29*B15*$F$5</f>
        <v>250.11476461938111</v>
      </c>
      <c r="C49" s="37">
        <f t="shared" si="11"/>
        <v>250.88827024050087</v>
      </c>
      <c r="D49" s="37">
        <f t="shared" si="11"/>
        <v>248.24220515122087</v>
      </c>
      <c r="E49" s="37">
        <f t="shared" si="11"/>
        <v>245.61626783896972</v>
      </c>
      <c r="F49" s="37">
        <f t="shared" si="11"/>
        <v>242.97896392847397</v>
      </c>
      <c r="G49" s="37">
        <f t="shared" si="11"/>
        <v>240.39697456652269</v>
      </c>
      <c r="H49" s="37">
        <f t="shared" si="11"/>
        <v>237.83854510123956</v>
      </c>
      <c r="I49" s="37">
        <f t="shared" si="11"/>
        <v>236.57199433819156</v>
      </c>
      <c r="J49" s="37">
        <f t="shared" si="11"/>
        <v>235.43684887835931</v>
      </c>
      <c r="K49" s="37">
        <f t="shared" si="11"/>
        <v>234.12856595278956</v>
      </c>
      <c r="L49" s="37">
        <f t="shared" si="11"/>
        <v>232.91086334982569</v>
      </c>
      <c r="M49" s="37">
        <f t="shared" si="11"/>
        <v>231.51936677516645</v>
      </c>
      <c r="N49" s="37">
        <f t="shared" si="11"/>
        <v>229.9859407745885</v>
      </c>
      <c r="O49" s="37">
        <f t="shared" si="11"/>
        <v>228.64213739549615</v>
      </c>
      <c r="P49" s="37">
        <f t="shared" si="11"/>
        <v>226.98831191226924</v>
      </c>
      <c r="Q49" s="37">
        <f t="shared" si="11"/>
        <v>225.4224291711632</v>
      </c>
      <c r="R49" s="37">
        <f t="shared" si="11"/>
        <v>223.70899362489195</v>
      </c>
      <c r="S49" s="37">
        <f t="shared" si="11"/>
        <v>221.79933128243175</v>
      </c>
      <c r="T49" s="37">
        <f t="shared" si="11"/>
        <v>219.84363661487211</v>
      </c>
      <c r="U49" s="37">
        <f t="shared" si="11"/>
        <v>217.9063977288086</v>
      </c>
      <c r="V49" s="37">
        <f t="shared" si="11"/>
        <v>216.05202222245774</v>
      </c>
      <c r="W49" s="37">
        <f t="shared" si="11"/>
        <v>214.24353415732716</v>
      </c>
      <c r="X49" s="37">
        <f t="shared" si="11"/>
        <v>212.40964144895759</v>
      </c>
      <c r="Y49" s="37">
        <f t="shared" si="11"/>
        <v>210.71822165507498</v>
      </c>
      <c r="Z49" s="37">
        <f t="shared" si="11"/>
        <v>208.99618708021802</v>
      </c>
      <c r="AA49" s="37">
        <f t="shared" si="11"/>
        <v>207.37725798186051</v>
      </c>
      <c r="AB49" s="37">
        <f t="shared" si="11"/>
        <v>205.96242116958223</v>
      </c>
    </row>
    <row r="50" spans="1:28" x14ac:dyDescent="0.25">
      <c r="A50" s="4" t="s">
        <v>217</v>
      </c>
      <c r="B50" s="37">
        <f t="shared" ref="B50:AB50" si="12">B30*B15*$F$6</f>
        <v>299.47320159808316</v>
      </c>
      <c r="C50" s="37">
        <f t="shared" si="12"/>
        <v>300.05807431352679</v>
      </c>
      <c r="D50" s="37">
        <f t="shared" si="12"/>
        <v>296.58249984899641</v>
      </c>
      <c r="E50" s="37">
        <f t="shared" si="12"/>
        <v>293.11321111489639</v>
      </c>
      <c r="F50" s="37">
        <f t="shared" si="12"/>
        <v>289.6824868546513</v>
      </c>
      <c r="G50" s="37">
        <f t="shared" si="12"/>
        <v>286.32041330585588</v>
      </c>
      <c r="H50" s="37">
        <f t="shared" si="12"/>
        <v>282.90846057892156</v>
      </c>
      <c r="I50" s="37">
        <f t="shared" si="12"/>
        <v>281.25973090955284</v>
      </c>
      <c r="J50" s="37">
        <f t="shared" si="12"/>
        <v>279.49924896732051</v>
      </c>
      <c r="K50" s="37">
        <f t="shared" si="12"/>
        <v>277.64644535703917</v>
      </c>
      <c r="L50" s="37">
        <f t="shared" si="12"/>
        <v>275.67085172819333</v>
      </c>
      <c r="M50" s="37">
        <f t="shared" si="12"/>
        <v>273.57163342783156</v>
      </c>
      <c r="N50" s="37">
        <f t="shared" si="12"/>
        <v>271.34755819778491</v>
      </c>
      <c r="O50" s="37">
        <f t="shared" si="12"/>
        <v>268.90626578963236</v>
      </c>
      <c r="P50" s="37">
        <f t="shared" si="12"/>
        <v>266.36686423663673</v>
      </c>
      <c r="Q50" s="37">
        <f t="shared" si="12"/>
        <v>263.69654971460039</v>
      </c>
      <c r="R50" s="37">
        <f t="shared" si="12"/>
        <v>260.89235158201382</v>
      </c>
      <c r="S50" s="37">
        <f t="shared" si="12"/>
        <v>257.76352234570214</v>
      </c>
      <c r="T50" s="37">
        <f t="shared" si="12"/>
        <v>254.65576283319515</v>
      </c>
      <c r="U50" s="37">
        <f t="shared" si="12"/>
        <v>251.56570159132303</v>
      </c>
      <c r="V50" s="37">
        <f t="shared" si="12"/>
        <v>248.52007072727523</v>
      </c>
      <c r="W50" s="37">
        <f t="shared" si="12"/>
        <v>245.57655307994756</v>
      </c>
      <c r="X50" s="37">
        <f t="shared" si="12"/>
        <v>242.76252988319769</v>
      </c>
      <c r="Y50" s="37">
        <f t="shared" si="12"/>
        <v>240.01387140238199</v>
      </c>
      <c r="Z50" s="37">
        <f t="shared" si="12"/>
        <v>237.35839702756616</v>
      </c>
      <c r="AA50" s="37">
        <f t="shared" si="12"/>
        <v>234.85563119252464</v>
      </c>
      <c r="AB50" s="37">
        <f t="shared" si="12"/>
        <v>232.44065615471965</v>
      </c>
    </row>
    <row r="51" spans="1:28" x14ac:dyDescent="0.25">
      <c r="A51" s="4" t="s">
        <v>218</v>
      </c>
      <c r="B51" s="37">
        <f t="shared" ref="B51:AB51" si="13">B31*B15*$F$7</f>
        <v>246.92530022914534</v>
      </c>
      <c r="C51" s="37">
        <f t="shared" si="13"/>
        <v>245.69566270235981</v>
      </c>
      <c r="D51" s="37">
        <f t="shared" si="13"/>
        <v>241.1632842690932</v>
      </c>
      <c r="E51" s="37">
        <f t="shared" si="13"/>
        <v>236.59700372944766</v>
      </c>
      <c r="F51" s="37">
        <f t="shared" si="13"/>
        <v>231.99849174180798</v>
      </c>
      <c r="G51" s="37">
        <f t="shared" si="13"/>
        <v>227.47242974326321</v>
      </c>
      <c r="H51" s="37">
        <f t="shared" si="13"/>
        <v>222.86282114994563</v>
      </c>
      <c r="I51" s="37">
        <f t="shared" si="13"/>
        <v>219.67627120931991</v>
      </c>
      <c r="J51" s="37">
        <f t="shared" si="13"/>
        <v>216.51331446321569</v>
      </c>
      <c r="K51" s="37">
        <f t="shared" si="13"/>
        <v>213.3655021377914</v>
      </c>
      <c r="L51" s="37">
        <f t="shared" si="13"/>
        <v>210.33711251955395</v>
      </c>
      <c r="M51" s="37">
        <f t="shared" si="13"/>
        <v>207.48067021277654</v>
      </c>
      <c r="N51" s="37">
        <f t="shared" si="13"/>
        <v>204.63871540572433</v>
      </c>
      <c r="O51" s="37">
        <f t="shared" si="13"/>
        <v>201.9686225683389</v>
      </c>
      <c r="P51" s="37">
        <f t="shared" si="13"/>
        <v>199.31205964404441</v>
      </c>
      <c r="Q51" s="37">
        <f t="shared" si="13"/>
        <v>196.77362534975299</v>
      </c>
      <c r="R51" s="37">
        <f t="shared" si="13"/>
        <v>194.29949962791125</v>
      </c>
      <c r="S51" s="37">
        <f t="shared" si="13"/>
        <v>191.65020621280587</v>
      </c>
      <c r="T51" s="37">
        <f t="shared" si="13"/>
        <v>189.06860162639347</v>
      </c>
      <c r="U51" s="37">
        <f t="shared" si="13"/>
        <v>186.49893898648546</v>
      </c>
      <c r="V51" s="37">
        <f t="shared" si="13"/>
        <v>184.0452515737876</v>
      </c>
      <c r="W51" s="37">
        <f t="shared" si="13"/>
        <v>181.54380331989395</v>
      </c>
      <c r="X51" s="37">
        <f t="shared" si="13"/>
        <v>179.15250988546669</v>
      </c>
      <c r="Y51" s="37">
        <f t="shared" si="13"/>
        <v>176.92396317615734</v>
      </c>
      <c r="Z51" s="37">
        <f t="shared" si="13"/>
        <v>174.69410468452091</v>
      </c>
      <c r="AA51" s="37">
        <f t="shared" si="13"/>
        <v>172.56873162055118</v>
      </c>
      <c r="AB51" s="37">
        <f t="shared" si="13"/>
        <v>170.43719281451519</v>
      </c>
    </row>
    <row r="52" spans="1:28" x14ac:dyDescent="0.25">
      <c r="A52" s="4" t="s">
        <v>219</v>
      </c>
      <c r="B52" s="37">
        <f t="shared" ref="B52:AB52" si="14">B32*B15*$F$8</f>
        <v>17.519595431669064</v>
      </c>
      <c r="C52" s="37">
        <f t="shared" si="14"/>
        <v>17.731891924314581</v>
      </c>
      <c r="D52" s="37">
        <f t="shared" si="14"/>
        <v>17.703053646461395</v>
      </c>
      <c r="E52" s="37">
        <f t="shared" si="14"/>
        <v>17.69674278434988</v>
      </c>
      <c r="F52" s="37">
        <f t="shared" si="14"/>
        <v>17.692606713463896</v>
      </c>
      <c r="G52" s="37">
        <f t="shared" si="14"/>
        <v>17.690724950957655</v>
      </c>
      <c r="H52" s="37">
        <f t="shared" si="14"/>
        <v>17.691273611874699</v>
      </c>
      <c r="I52" s="37">
        <f t="shared" si="14"/>
        <v>17.799584545951323</v>
      </c>
      <c r="J52" s="37">
        <f t="shared" si="14"/>
        <v>17.91102814002922</v>
      </c>
      <c r="K52" s="37">
        <f t="shared" si="14"/>
        <v>18.065353341421179</v>
      </c>
      <c r="L52" s="37">
        <f t="shared" si="14"/>
        <v>18.182195154696739</v>
      </c>
      <c r="M52" s="37">
        <f t="shared" si="14"/>
        <v>18.301862245545717</v>
      </c>
      <c r="N52" s="37">
        <f t="shared" si="14"/>
        <v>18.424444434982671</v>
      </c>
      <c r="O52" s="37">
        <f t="shared" si="14"/>
        <v>18.550034826904156</v>
      </c>
      <c r="P52" s="37">
        <f t="shared" si="14"/>
        <v>18.658336243855523</v>
      </c>
      <c r="Q52" s="37">
        <f t="shared" si="14"/>
        <v>18.790068514165252</v>
      </c>
      <c r="R52" s="37">
        <f t="shared" si="14"/>
        <v>18.883965203261109</v>
      </c>
      <c r="S52" s="37">
        <f t="shared" si="14"/>
        <v>18.982966069157797</v>
      </c>
      <c r="T52" s="37">
        <f t="shared" si="14"/>
        <v>19.105436371831772</v>
      </c>
      <c r="U52" s="37">
        <f t="shared" si="14"/>
        <v>19.189564501493951</v>
      </c>
      <c r="V52" s="37">
        <f t="shared" si="14"/>
        <v>19.296864664613089</v>
      </c>
      <c r="W52" s="37">
        <f t="shared" si="14"/>
        <v>19.406551868038584</v>
      </c>
      <c r="X52" s="37">
        <f t="shared" si="14"/>
        <v>19.497628573666976</v>
      </c>
      <c r="Y52" s="37">
        <f t="shared" si="14"/>
        <v>19.632246910952979</v>
      </c>
      <c r="Z52" s="37">
        <f t="shared" si="14"/>
        <v>19.727009029924051</v>
      </c>
      <c r="AA52" s="37">
        <f t="shared" si="14"/>
        <v>19.823199047015418</v>
      </c>
      <c r="AB52" s="37">
        <f t="shared" si="14"/>
        <v>19.920571606255152</v>
      </c>
    </row>
    <row r="53" spans="1:28" x14ac:dyDescent="0.25">
      <c r="A53" s="4" t="s">
        <v>220</v>
      </c>
      <c r="B53" s="37">
        <f t="shared" ref="B53:AB53" si="15">B33*B15*$F$9</f>
        <v>47.847015709075272</v>
      </c>
      <c r="C53" s="37">
        <f t="shared" si="15"/>
        <v>48.671943250768891</v>
      </c>
      <c r="D53" s="37">
        <f t="shared" si="15"/>
        <v>48.740938682892448</v>
      </c>
      <c r="E53" s="37">
        <f t="shared" si="15"/>
        <v>48.877479418854072</v>
      </c>
      <c r="F53" s="37">
        <f t="shared" si="15"/>
        <v>48.987207305183603</v>
      </c>
      <c r="G53" s="37">
        <f t="shared" si="15"/>
        <v>49.039681401357285</v>
      </c>
      <c r="H53" s="37">
        <f t="shared" si="15"/>
        <v>49.222508301072466</v>
      </c>
      <c r="I53" s="37">
        <f t="shared" si="15"/>
        <v>49.580293741086109</v>
      </c>
      <c r="J53" s="37">
        <f t="shared" si="15"/>
        <v>49.978131002329015</v>
      </c>
      <c r="K53" s="37">
        <f t="shared" si="15"/>
        <v>50.289951522357867</v>
      </c>
      <c r="L53" s="37">
        <f t="shared" si="15"/>
        <v>50.640583436070742</v>
      </c>
      <c r="M53" s="37">
        <f t="shared" si="15"/>
        <v>50.905209656962057</v>
      </c>
      <c r="N53" s="37">
        <f t="shared" si="15"/>
        <v>51.240438130219715</v>
      </c>
      <c r="O53" s="37">
        <f t="shared" si="15"/>
        <v>51.521060439382602</v>
      </c>
      <c r="P53" s="37">
        <f t="shared" si="15"/>
        <v>51.74679445400259</v>
      </c>
      <c r="Q53" s="37">
        <f t="shared" si="15"/>
        <v>51.917202092974478</v>
      </c>
      <c r="R53" s="37">
        <f t="shared" si="15"/>
        <v>52.095185092540071</v>
      </c>
      <c r="S53" s="37">
        <f t="shared" si="15"/>
        <v>52.19845559934695</v>
      </c>
      <c r="T53" s="37">
        <f t="shared" si="15"/>
        <v>52.181589875766555</v>
      </c>
      <c r="U53" s="37">
        <f t="shared" si="15"/>
        <v>52.234915832893748</v>
      </c>
      <c r="V53" s="37">
        <f t="shared" si="15"/>
        <v>52.230260435521288</v>
      </c>
      <c r="W53" s="37">
        <f t="shared" si="15"/>
        <v>52.230640210186934</v>
      </c>
      <c r="X53" s="37">
        <f t="shared" si="15"/>
        <v>52.299664640611283</v>
      </c>
      <c r="Y53" s="37">
        <f t="shared" si="15"/>
        <v>52.276137516303045</v>
      </c>
      <c r="Z53" s="37">
        <f t="shared" si="15"/>
        <v>52.352622996039713</v>
      </c>
      <c r="AA53" s="37">
        <f t="shared" si="15"/>
        <v>52.334665819482694</v>
      </c>
      <c r="AB53" s="37">
        <f t="shared" si="15"/>
        <v>52.415868143616777</v>
      </c>
    </row>
    <row r="54" spans="1:28" x14ac:dyDescent="0.25">
      <c r="A54" s="4" t="s">
        <v>221</v>
      </c>
      <c r="B54" s="37">
        <f t="shared" ref="B54:AB54" si="16">B34*B15*$F$10</f>
        <v>77.684178411960474</v>
      </c>
      <c r="C54" s="37">
        <f t="shared" si="16"/>
        <v>78.678907381052255</v>
      </c>
      <c r="D54" s="37">
        <f t="shared" si="16"/>
        <v>78.644461492033187</v>
      </c>
      <c r="E54" s="37">
        <f t="shared" si="16"/>
        <v>78.639089954929432</v>
      </c>
      <c r="F54" s="37">
        <f t="shared" si="16"/>
        <v>78.703455763096272</v>
      </c>
      <c r="G54" s="37">
        <f t="shared" si="16"/>
        <v>78.697051106778517</v>
      </c>
      <c r="H54" s="37">
        <f t="shared" si="16"/>
        <v>78.681525875960361</v>
      </c>
      <c r="I54" s="37">
        <f t="shared" si="16"/>
        <v>79.125377418335688</v>
      </c>
      <c r="J54" s="37">
        <f t="shared" si="16"/>
        <v>79.543068022969052</v>
      </c>
      <c r="K54" s="37">
        <f t="shared" si="16"/>
        <v>79.931999270936117</v>
      </c>
      <c r="L54" s="37">
        <f t="shared" si="16"/>
        <v>80.272346139560412</v>
      </c>
      <c r="M54" s="37">
        <f t="shared" si="16"/>
        <v>80.564137878428554</v>
      </c>
      <c r="N54" s="37">
        <f t="shared" si="16"/>
        <v>80.807287368835148</v>
      </c>
      <c r="O54" s="37">
        <f t="shared" si="16"/>
        <v>81.001667989674729</v>
      </c>
      <c r="P54" s="37">
        <f t="shared" si="16"/>
        <v>81.086267587532433</v>
      </c>
      <c r="Q54" s="37">
        <f t="shared" si="16"/>
        <v>81.12101277726174</v>
      </c>
      <c r="R54" s="37">
        <f t="shared" si="16"/>
        <v>81.044173243289947</v>
      </c>
      <c r="S54" s="37">
        <f t="shared" si="16"/>
        <v>80.898859084585951</v>
      </c>
      <c r="T54" s="37">
        <f t="shared" si="16"/>
        <v>80.68182664429051</v>
      </c>
      <c r="U54" s="37">
        <f t="shared" si="16"/>
        <v>80.391805904007398</v>
      </c>
      <c r="V54" s="37">
        <f t="shared" si="16"/>
        <v>80.109343612726832</v>
      </c>
      <c r="W54" s="37">
        <f t="shared" si="16"/>
        <v>79.730342856413742</v>
      </c>
      <c r="X54" s="37">
        <f t="shared" si="16"/>
        <v>79.459216487923683</v>
      </c>
      <c r="Y54" s="37">
        <f t="shared" si="16"/>
        <v>79.171820002593833</v>
      </c>
      <c r="Z54" s="37">
        <f t="shared" si="16"/>
        <v>78.887627591794711</v>
      </c>
      <c r="AA54" s="37">
        <f t="shared" si="16"/>
        <v>78.626329658559413</v>
      </c>
      <c r="AB54" s="37">
        <f t="shared" si="16"/>
        <v>78.407879288790937</v>
      </c>
    </row>
    <row r="55" spans="1:28" x14ac:dyDescent="0.25">
      <c r="A55" s="4" t="s">
        <v>222</v>
      </c>
      <c r="B55" s="37">
        <f t="shared" ref="B55:AB55" si="17">B35*B15*$F$11</f>
        <v>469.43328551373639</v>
      </c>
      <c r="C55" s="37">
        <f t="shared" si="17"/>
        <v>468.83649864152</v>
      </c>
      <c r="D55" s="37">
        <f t="shared" si="17"/>
        <v>461.73434163920643</v>
      </c>
      <c r="E55" s="37">
        <f t="shared" si="17"/>
        <v>454.68163241038047</v>
      </c>
      <c r="F55" s="37">
        <f t="shared" si="17"/>
        <v>447.50206657205638</v>
      </c>
      <c r="G55" s="37">
        <f t="shared" si="17"/>
        <v>440.51732247781979</v>
      </c>
      <c r="H55" s="37">
        <f t="shared" si="17"/>
        <v>433.58576516026784</v>
      </c>
      <c r="I55" s="37">
        <f t="shared" si="17"/>
        <v>429.2801717775597</v>
      </c>
      <c r="J55" s="37">
        <f t="shared" si="17"/>
        <v>424.95613975657091</v>
      </c>
      <c r="K55" s="37">
        <f t="shared" si="17"/>
        <v>420.56203005011224</v>
      </c>
      <c r="L55" s="37">
        <f t="shared" si="17"/>
        <v>416.16834748338704</v>
      </c>
      <c r="M55" s="37">
        <f t="shared" si="17"/>
        <v>411.73872531248753</v>
      </c>
      <c r="N55" s="37">
        <f t="shared" si="17"/>
        <v>407.34331082244847</v>
      </c>
      <c r="O55" s="37">
        <f t="shared" si="17"/>
        <v>402.83774887370151</v>
      </c>
      <c r="P55" s="37">
        <f t="shared" si="17"/>
        <v>398.32729358830198</v>
      </c>
      <c r="Q55" s="37">
        <f t="shared" si="17"/>
        <v>393.80929045558582</v>
      </c>
      <c r="R55" s="37">
        <f t="shared" si="17"/>
        <v>389.31675360024093</v>
      </c>
      <c r="S55" s="37">
        <f t="shared" si="17"/>
        <v>384.36682833999538</v>
      </c>
      <c r="T55" s="37">
        <f t="shared" si="17"/>
        <v>379.51973410794767</v>
      </c>
      <c r="U55" s="37">
        <f t="shared" si="17"/>
        <v>374.84356008465733</v>
      </c>
      <c r="V55" s="37">
        <f t="shared" si="17"/>
        <v>370.26021164821128</v>
      </c>
      <c r="W55" s="37">
        <f t="shared" si="17"/>
        <v>365.94640130716442</v>
      </c>
      <c r="X55" s="37">
        <f t="shared" si="17"/>
        <v>361.71442236205826</v>
      </c>
      <c r="Y55" s="37">
        <f t="shared" si="17"/>
        <v>357.67069451923396</v>
      </c>
      <c r="Z55" s="37">
        <f t="shared" si="17"/>
        <v>353.77412405326339</v>
      </c>
      <c r="AA55" s="37">
        <f t="shared" si="17"/>
        <v>349.98341096598369</v>
      </c>
      <c r="AB55" s="37">
        <f t="shared" si="17"/>
        <v>346.3312437589301</v>
      </c>
    </row>
    <row r="57" spans="1:28" x14ac:dyDescent="0.25">
      <c r="A57" s="4" t="s">
        <v>327</v>
      </c>
    </row>
    <row r="58" spans="1:28" x14ac:dyDescent="0.25">
      <c r="A58" s="4" t="s">
        <v>215</v>
      </c>
      <c r="B58" s="37">
        <f t="shared" ref="B58:AB58" si="18">B38*B15*$F$4</f>
        <v>48281.089133046939</v>
      </c>
      <c r="C58" s="37">
        <f t="shared" si="18"/>
        <v>49583.477071952941</v>
      </c>
      <c r="D58" s="37">
        <f t="shared" si="18"/>
        <v>50206.743597120345</v>
      </c>
      <c r="E58" s="37">
        <f t="shared" si="18"/>
        <v>50825.67070399881</v>
      </c>
      <c r="F58" s="37">
        <f t="shared" si="18"/>
        <v>51444.679060636205</v>
      </c>
      <c r="G58" s="37">
        <f t="shared" si="18"/>
        <v>52065.310406589393</v>
      </c>
      <c r="H58" s="37">
        <f t="shared" si="18"/>
        <v>52684.029982510008</v>
      </c>
      <c r="I58" s="37">
        <f t="shared" si="18"/>
        <v>53614.489104867964</v>
      </c>
      <c r="J58" s="37">
        <f t="shared" si="18"/>
        <v>54540.384189214827</v>
      </c>
      <c r="K58" s="37">
        <f t="shared" si="18"/>
        <v>55460.72957695488</v>
      </c>
      <c r="L58" s="37">
        <f t="shared" si="18"/>
        <v>56370.78011420682</v>
      </c>
      <c r="M58" s="37">
        <f t="shared" si="18"/>
        <v>57269.5087765106</v>
      </c>
      <c r="N58" s="37">
        <f t="shared" si="18"/>
        <v>58150.954596443073</v>
      </c>
      <c r="O58" s="37">
        <f t="shared" si="18"/>
        <v>59012.77652121272</v>
      </c>
      <c r="P58" s="37">
        <f t="shared" si="18"/>
        <v>59847.209598840978</v>
      </c>
      <c r="Q58" s="37">
        <f t="shared" si="18"/>
        <v>60652.789330440894</v>
      </c>
      <c r="R58" s="37">
        <f t="shared" si="18"/>
        <v>61420.017771085033</v>
      </c>
      <c r="S58" s="37">
        <f t="shared" si="18"/>
        <v>62089.166865887128</v>
      </c>
      <c r="T58" s="37">
        <f t="shared" si="18"/>
        <v>62715.768958581211</v>
      </c>
      <c r="U58" s="37">
        <f t="shared" si="18"/>
        <v>63302.76758733816</v>
      </c>
      <c r="V58" s="37">
        <f t="shared" si="18"/>
        <v>63834.469766933515</v>
      </c>
      <c r="W58" s="37">
        <f t="shared" si="18"/>
        <v>64314.033935422784</v>
      </c>
      <c r="X58" s="37">
        <f t="shared" si="18"/>
        <v>64737.303574460908</v>
      </c>
      <c r="Y58" s="37">
        <f t="shared" si="18"/>
        <v>65130.415226395271</v>
      </c>
      <c r="Z58" s="37">
        <f t="shared" si="18"/>
        <v>65469.08428660666</v>
      </c>
      <c r="AA58" s="37">
        <f t="shared" si="18"/>
        <v>65756.676766150224</v>
      </c>
      <c r="AB58" s="37">
        <f t="shared" si="18"/>
        <v>65998.521506976787</v>
      </c>
    </row>
    <row r="59" spans="1:28" x14ac:dyDescent="0.25">
      <c r="A59" s="4" t="s">
        <v>216</v>
      </c>
      <c r="B59" s="37">
        <f t="shared" ref="B59:AB59" si="19">B39*B15*$F$5</f>
        <v>46740.463285117439</v>
      </c>
      <c r="C59" s="37">
        <f t="shared" si="19"/>
        <v>47876.965243269791</v>
      </c>
      <c r="D59" s="37">
        <f t="shared" si="19"/>
        <v>48360.738942084376</v>
      </c>
      <c r="E59" s="37">
        <f t="shared" si="19"/>
        <v>48866.221801327774</v>
      </c>
      <c r="F59" s="37">
        <f t="shared" si="19"/>
        <v>49406.937118656664</v>
      </c>
      <c r="G59" s="37">
        <f t="shared" si="19"/>
        <v>49985.098082776894</v>
      </c>
      <c r="H59" s="37">
        <f t="shared" si="19"/>
        <v>50604.901005600354</v>
      </c>
      <c r="I59" s="37">
        <f t="shared" si="19"/>
        <v>51565.726131183634</v>
      </c>
      <c r="J59" s="37">
        <f t="shared" si="19"/>
        <v>52568.99818217232</v>
      </c>
      <c r="K59" s="37">
        <f t="shared" si="19"/>
        <v>53601.585889831025</v>
      </c>
      <c r="L59" s="37">
        <f t="shared" si="19"/>
        <v>54662.619396476846</v>
      </c>
      <c r="M59" s="37">
        <f t="shared" si="19"/>
        <v>55748.995611689366</v>
      </c>
      <c r="N59" s="37">
        <f t="shared" si="19"/>
        <v>56848.991932930221</v>
      </c>
      <c r="O59" s="37">
        <f t="shared" si="19"/>
        <v>57951.329956829548</v>
      </c>
      <c r="P59" s="37">
        <f t="shared" si="19"/>
        <v>59053.496772854262</v>
      </c>
      <c r="Q59" s="37">
        <f t="shared" si="19"/>
        <v>60139.177904582779</v>
      </c>
      <c r="R59" s="37">
        <f t="shared" si="19"/>
        <v>61203.633699621372</v>
      </c>
      <c r="S59" s="37">
        <f t="shared" si="19"/>
        <v>62175.51599849062</v>
      </c>
      <c r="T59" s="37">
        <f t="shared" si="19"/>
        <v>63108.73339728111</v>
      </c>
      <c r="U59" s="37">
        <f t="shared" si="19"/>
        <v>63997.089985590661</v>
      </c>
      <c r="V59" s="37">
        <f t="shared" si="19"/>
        <v>64825.624116389241</v>
      </c>
      <c r="W59" s="37">
        <f t="shared" si="19"/>
        <v>65580.641291298176</v>
      </c>
      <c r="X59" s="37">
        <f t="shared" si="19"/>
        <v>66264.86953049661</v>
      </c>
      <c r="Y59" s="37">
        <f t="shared" si="19"/>
        <v>66908.50879749241</v>
      </c>
      <c r="Z59" s="37">
        <f t="shared" si="19"/>
        <v>67482.174289298287</v>
      </c>
      <c r="AA59" s="37">
        <f t="shared" si="19"/>
        <v>67974.616862841242</v>
      </c>
      <c r="AB59" s="37">
        <f t="shared" si="19"/>
        <v>68386.056860024546</v>
      </c>
    </row>
    <row r="60" spans="1:28" x14ac:dyDescent="0.25">
      <c r="A60" s="4" t="s">
        <v>217</v>
      </c>
      <c r="B60" s="37">
        <f t="shared" ref="B60:AB60" si="20">B40*B15*$F$6</f>
        <v>71213.925342405768</v>
      </c>
      <c r="C60" s="37">
        <f t="shared" si="20"/>
        <v>73028.39946931634</v>
      </c>
      <c r="D60" s="37">
        <f t="shared" si="20"/>
        <v>73838.830196242285</v>
      </c>
      <c r="E60" s="37">
        <f t="shared" si="20"/>
        <v>74655.203832116153</v>
      </c>
      <c r="F60" s="37">
        <f t="shared" si="20"/>
        <v>75492.747353485378</v>
      </c>
      <c r="G60" s="37">
        <f t="shared" si="20"/>
        <v>76351.609427100964</v>
      </c>
      <c r="H60" s="37">
        <f t="shared" si="20"/>
        <v>77234.428507177334</v>
      </c>
      <c r="I60" s="37">
        <f t="shared" si="20"/>
        <v>78597.804110519137</v>
      </c>
      <c r="J60" s="37">
        <f t="shared" si="20"/>
        <v>79982.643129320466</v>
      </c>
      <c r="K60" s="37">
        <f t="shared" si="20"/>
        <v>81374.973915847775</v>
      </c>
      <c r="L60" s="37">
        <f t="shared" si="20"/>
        <v>82770.579958876217</v>
      </c>
      <c r="M60" s="37">
        <f t="shared" si="20"/>
        <v>84166.316277342208</v>
      </c>
      <c r="N60" s="37">
        <f t="shared" si="20"/>
        <v>85546.924911071677</v>
      </c>
      <c r="O60" s="37">
        <f t="shared" si="20"/>
        <v>86903.801404987011</v>
      </c>
      <c r="P60" s="37">
        <f t="shared" si="20"/>
        <v>88225.546810306696</v>
      </c>
      <c r="Q60" s="37">
        <f t="shared" si="20"/>
        <v>89499.975023716688</v>
      </c>
      <c r="R60" s="37">
        <f t="shared" si="20"/>
        <v>90715.19391145288</v>
      </c>
      <c r="S60" s="37">
        <f t="shared" si="20"/>
        <v>91774.261757413944</v>
      </c>
      <c r="T60" s="37">
        <f t="shared" si="20"/>
        <v>92758.591889085772</v>
      </c>
      <c r="U60" s="37">
        <f t="shared" si="20"/>
        <v>93667.250175285386</v>
      </c>
      <c r="V60" s="37">
        <f t="shared" si="20"/>
        <v>94474.363553072559</v>
      </c>
      <c r="W60" s="37">
        <f t="shared" si="20"/>
        <v>95171.674912847826</v>
      </c>
      <c r="X60" s="37">
        <f t="shared" si="20"/>
        <v>95759.975476893916</v>
      </c>
      <c r="Y60" s="37">
        <f t="shared" si="20"/>
        <v>96287.056671972139</v>
      </c>
      <c r="Z60" s="37">
        <f t="shared" si="20"/>
        <v>96708.867717698551</v>
      </c>
      <c r="AA60" s="37">
        <f t="shared" si="20"/>
        <v>97018.158085059506</v>
      </c>
      <c r="AB60" s="37">
        <f t="shared" si="20"/>
        <v>97221.900576025742</v>
      </c>
    </row>
    <row r="61" spans="1:28" x14ac:dyDescent="0.25">
      <c r="A61" s="4" t="s">
        <v>218</v>
      </c>
      <c r="B61" s="37">
        <f t="shared" ref="B61:AB61" si="21">B41*B15*$F$7</f>
        <v>19090.207734517662</v>
      </c>
      <c r="C61" s="37">
        <f t="shared" si="21"/>
        <v>19544.916942858144</v>
      </c>
      <c r="D61" s="37">
        <f t="shared" si="21"/>
        <v>19733.968337454524</v>
      </c>
      <c r="E61" s="37">
        <f t="shared" si="21"/>
        <v>19924.060846695698</v>
      </c>
      <c r="F61" s="37">
        <f t="shared" si="21"/>
        <v>20121.712278549719</v>
      </c>
      <c r="G61" s="37">
        <f t="shared" si="21"/>
        <v>20327.431258427649</v>
      </c>
      <c r="H61" s="37">
        <f t="shared" si="21"/>
        <v>20540.696594672252</v>
      </c>
      <c r="I61" s="37">
        <f t="shared" si="21"/>
        <v>20885.747513220311</v>
      </c>
      <c r="J61" s="37">
        <f t="shared" si="21"/>
        <v>21240.884361027744</v>
      </c>
      <c r="K61" s="37">
        <f t="shared" si="21"/>
        <v>21604.876663088566</v>
      </c>
      <c r="L61" s="37">
        <f t="shared" si="21"/>
        <v>21977.872566391106</v>
      </c>
      <c r="M61" s="37">
        <f t="shared" si="21"/>
        <v>22358.861959048401</v>
      </c>
      <c r="N61" s="37">
        <f t="shared" si="21"/>
        <v>22749.021389043191</v>
      </c>
      <c r="O61" s="37">
        <f t="shared" si="21"/>
        <v>23142.69478621531</v>
      </c>
      <c r="P61" s="37">
        <f t="shared" si="21"/>
        <v>23542.495308071611</v>
      </c>
      <c r="Q61" s="37">
        <f t="shared" si="21"/>
        <v>23943.705071671277</v>
      </c>
      <c r="R61" s="37">
        <f t="shared" si="21"/>
        <v>24345.775121137649</v>
      </c>
      <c r="S61" s="37">
        <f t="shared" si="21"/>
        <v>24724.952812019259</v>
      </c>
      <c r="T61" s="37">
        <f t="shared" si="21"/>
        <v>25099.763797683539</v>
      </c>
      <c r="U61" s="37">
        <f t="shared" si="21"/>
        <v>25470.525823514672</v>
      </c>
      <c r="V61" s="37">
        <f t="shared" si="21"/>
        <v>25834.186498283791</v>
      </c>
      <c r="W61" s="37">
        <f t="shared" si="21"/>
        <v>26185.826612864705</v>
      </c>
      <c r="X61" s="37">
        <f t="shared" si="21"/>
        <v>26523.512929267046</v>
      </c>
      <c r="Y61" s="37">
        <f t="shared" si="21"/>
        <v>26853.774039639738</v>
      </c>
      <c r="Z61" s="37">
        <f t="shared" si="21"/>
        <v>27169.048824616595</v>
      </c>
      <c r="AA61" s="37">
        <f t="shared" si="21"/>
        <v>27468.891215785679</v>
      </c>
      <c r="AB61" s="37">
        <f t="shared" si="21"/>
        <v>27750.224345729461</v>
      </c>
    </row>
    <row r="62" spans="1:28" x14ac:dyDescent="0.25">
      <c r="A62" s="4" t="s">
        <v>219</v>
      </c>
      <c r="B62" s="37">
        <f t="shared" ref="B62:AB62" si="22">B42*B15*$F$8</f>
        <v>2479.4602347679102</v>
      </c>
      <c r="C62" s="37">
        <f t="shared" si="22"/>
        <v>2559.6724821578277</v>
      </c>
      <c r="D62" s="37">
        <f t="shared" si="22"/>
        <v>2607.0247790921544</v>
      </c>
      <c r="E62" s="37">
        <f t="shared" si="22"/>
        <v>2657.9857494735193</v>
      </c>
      <c r="F62" s="37">
        <f t="shared" si="22"/>
        <v>2713.2977253329068</v>
      </c>
      <c r="G62" s="37">
        <f t="shared" si="22"/>
        <v>2772.8752228022095</v>
      </c>
      <c r="H62" s="37">
        <f t="shared" si="22"/>
        <v>2836.8748635630513</v>
      </c>
      <c r="I62" s="37">
        <f t="shared" si="22"/>
        <v>2922.5633525228918</v>
      </c>
      <c r="J62" s="37">
        <f t="shared" si="22"/>
        <v>3012.0278477995707</v>
      </c>
      <c r="K62" s="37">
        <f t="shared" si="22"/>
        <v>3104.7031665627715</v>
      </c>
      <c r="L62" s="37">
        <f t="shared" si="22"/>
        <v>3201.4184083535561</v>
      </c>
      <c r="M62" s="37">
        <f t="shared" si="22"/>
        <v>3301.5952799398324</v>
      </c>
      <c r="N62" s="37">
        <f t="shared" si="22"/>
        <v>3404.8535467174138</v>
      </c>
      <c r="O62" s="37">
        <f t="shared" si="22"/>
        <v>3510.6296469181693</v>
      </c>
      <c r="P62" s="37">
        <f t="shared" si="22"/>
        <v>3618.6376550842551</v>
      </c>
      <c r="Q62" s="37">
        <f t="shared" si="22"/>
        <v>3728.2151050480866</v>
      </c>
      <c r="R62" s="37">
        <f t="shared" si="22"/>
        <v>3839.0363923362897</v>
      </c>
      <c r="S62" s="37">
        <f t="shared" si="22"/>
        <v>3946.6509953425671</v>
      </c>
      <c r="T62" s="37">
        <f t="shared" si="22"/>
        <v>4054.7535478397158</v>
      </c>
      <c r="U62" s="37">
        <f t="shared" si="22"/>
        <v>4162.4659428772256</v>
      </c>
      <c r="V62" s="37">
        <f t="shared" si="22"/>
        <v>4269.9168277304625</v>
      </c>
      <c r="W62" s="37">
        <f t="shared" si="22"/>
        <v>4376.8091429683955</v>
      </c>
      <c r="X62" s="37">
        <f t="shared" si="22"/>
        <v>4483.4994165500193</v>
      </c>
      <c r="Y62" s="37">
        <f t="shared" si="22"/>
        <v>4589.6778973997471</v>
      </c>
      <c r="Z62" s="37">
        <f t="shared" si="22"/>
        <v>4695.4665271003678</v>
      </c>
      <c r="AA62" s="37">
        <f t="shared" si="22"/>
        <v>4800.7936488255027</v>
      </c>
      <c r="AB62" s="37">
        <f t="shared" si="22"/>
        <v>4905.2885724300622</v>
      </c>
    </row>
    <row r="63" spans="1:28" x14ac:dyDescent="0.25">
      <c r="A63" s="4" t="s">
        <v>220</v>
      </c>
      <c r="B63" s="37">
        <f t="shared" ref="B63:AB63" si="23">B43*B15*$F$9</f>
        <v>2109.7129792197202</v>
      </c>
      <c r="C63" s="37">
        <f t="shared" si="23"/>
        <v>2174.9142087621503</v>
      </c>
      <c r="D63" s="37">
        <f t="shared" si="23"/>
        <v>2212.5096702186952</v>
      </c>
      <c r="E63" s="37">
        <f t="shared" si="23"/>
        <v>2254.0291828844111</v>
      </c>
      <c r="F63" s="37">
        <f t="shared" si="23"/>
        <v>2295.7272119139593</v>
      </c>
      <c r="G63" s="37">
        <f t="shared" si="23"/>
        <v>2340.8731835361177</v>
      </c>
      <c r="H63" s="37">
        <f t="shared" si="23"/>
        <v>2387.3226882314607</v>
      </c>
      <c r="I63" s="37">
        <f t="shared" si="23"/>
        <v>2449.0800018676809</v>
      </c>
      <c r="J63" s="37">
        <f t="shared" si="23"/>
        <v>2512.3897468292289</v>
      </c>
      <c r="K63" s="37">
        <f t="shared" si="23"/>
        <v>2579.9805837143131</v>
      </c>
      <c r="L63" s="37">
        <f t="shared" si="23"/>
        <v>2649.4090426692442</v>
      </c>
      <c r="M63" s="37">
        <f t="shared" si="23"/>
        <v>2721.5021502512222</v>
      </c>
      <c r="N63" s="37">
        <f t="shared" si="23"/>
        <v>2795.0842669525427</v>
      </c>
      <c r="O63" s="37">
        <f t="shared" si="23"/>
        <v>2870.387143672921</v>
      </c>
      <c r="P63" s="37">
        <f t="shared" si="23"/>
        <v>2948.1789552464547</v>
      </c>
      <c r="Q63" s="37">
        <f t="shared" si="23"/>
        <v>3028.0921674118058</v>
      </c>
      <c r="R63" s="37">
        <f t="shared" si="23"/>
        <v>3109.5622327070305</v>
      </c>
      <c r="S63" s="37">
        <f t="shared" si="23"/>
        <v>3188.5881193552354</v>
      </c>
      <c r="T63" s="37">
        <f t="shared" si="23"/>
        <v>3268.9950214296609</v>
      </c>
      <c r="U63" s="37">
        <f t="shared" si="23"/>
        <v>3349.9311547599095</v>
      </c>
      <c r="V63" s="37">
        <f t="shared" si="23"/>
        <v>3430.4271786535878</v>
      </c>
      <c r="W63" s="37">
        <f t="shared" si="23"/>
        <v>3512.5747195407348</v>
      </c>
      <c r="X63" s="37">
        <f t="shared" si="23"/>
        <v>3594.6852525031218</v>
      </c>
      <c r="Y63" s="37">
        <f t="shared" si="23"/>
        <v>3677.7762335806487</v>
      </c>
      <c r="Z63" s="37">
        <f t="shared" si="23"/>
        <v>3760.4316743869394</v>
      </c>
      <c r="AA63" s="37">
        <f t="shared" si="23"/>
        <v>3843.1932661637961</v>
      </c>
      <c r="AB63" s="37">
        <f t="shared" si="23"/>
        <v>3926.6378641582892</v>
      </c>
    </row>
    <row r="64" spans="1:28" x14ac:dyDescent="0.25">
      <c r="A64" s="4" t="s">
        <v>221</v>
      </c>
      <c r="B64" s="37">
        <f t="shared" ref="B64:AB64" si="24">B44*B15*$F$10</f>
        <v>5058.0672166225449</v>
      </c>
      <c r="C64" s="37">
        <f t="shared" si="24"/>
        <v>5281.4823000054084</v>
      </c>
      <c r="D64" s="37">
        <f t="shared" si="24"/>
        <v>5437.0620129887011</v>
      </c>
      <c r="E64" s="37">
        <f t="shared" si="24"/>
        <v>5595.8962485801794</v>
      </c>
      <c r="F64" s="37">
        <f t="shared" si="24"/>
        <v>5758.0340583941052</v>
      </c>
      <c r="G64" s="37">
        <f t="shared" si="24"/>
        <v>5924.1635747244063</v>
      </c>
      <c r="H64" s="37">
        <f t="shared" si="24"/>
        <v>6096.1952373259592</v>
      </c>
      <c r="I64" s="37">
        <f t="shared" si="24"/>
        <v>6311.440616518561</v>
      </c>
      <c r="J64" s="37">
        <f t="shared" si="24"/>
        <v>6533.2012584472068</v>
      </c>
      <c r="K64" s="37">
        <f t="shared" si="24"/>
        <v>6763.0518631823761</v>
      </c>
      <c r="L64" s="37">
        <f t="shared" si="24"/>
        <v>7002.2277592774253</v>
      </c>
      <c r="M64" s="37">
        <f t="shared" si="24"/>
        <v>7249.1040399358371</v>
      </c>
      <c r="N64" s="37">
        <f t="shared" si="24"/>
        <v>7505.6492011210103</v>
      </c>
      <c r="O64" s="37">
        <f t="shared" si="24"/>
        <v>7770.7075091186689</v>
      </c>
      <c r="P64" s="37">
        <f t="shared" si="24"/>
        <v>8044.020946051166</v>
      </c>
      <c r="Q64" s="37">
        <f t="shared" si="24"/>
        <v>8326.0285131232667</v>
      </c>
      <c r="R64" s="37">
        <f t="shared" si="24"/>
        <v>8615.1320126370629</v>
      </c>
      <c r="S64" s="37">
        <f t="shared" si="24"/>
        <v>8902.790934237446</v>
      </c>
      <c r="T64" s="37">
        <f t="shared" si="24"/>
        <v>9196.9923505073402</v>
      </c>
      <c r="U64" s="37">
        <f t="shared" si="24"/>
        <v>9497.1732659778536</v>
      </c>
      <c r="V64" s="37">
        <f t="shared" si="24"/>
        <v>9802.1102848648079</v>
      </c>
      <c r="W64" s="37">
        <f t="shared" si="24"/>
        <v>10110.478584231247</v>
      </c>
      <c r="X64" s="37">
        <f t="shared" si="24"/>
        <v>10423.521935158416</v>
      </c>
      <c r="Y64" s="37">
        <f t="shared" si="24"/>
        <v>10739.162818140649</v>
      </c>
      <c r="Z64" s="37">
        <f t="shared" si="24"/>
        <v>11057.256725258534</v>
      </c>
      <c r="AA64" s="37">
        <f t="shared" si="24"/>
        <v>11375.309496664337</v>
      </c>
      <c r="AB64" s="37">
        <f t="shared" si="24"/>
        <v>11692.976635895793</v>
      </c>
    </row>
    <row r="65" spans="1:28" x14ac:dyDescent="0.25">
      <c r="A65" s="4" t="s">
        <v>222</v>
      </c>
      <c r="B65" s="37">
        <f t="shared" ref="B65:AB65" si="25">B45*B15*$F$11</f>
        <v>94955.431095144551</v>
      </c>
      <c r="C65" s="37">
        <f t="shared" si="25"/>
        <v>97228.527007592056</v>
      </c>
      <c r="D65" s="37">
        <f t="shared" si="25"/>
        <v>98165.189432529718</v>
      </c>
      <c r="E65" s="37">
        <f t="shared" si="25"/>
        <v>99114.644347486275</v>
      </c>
      <c r="F65" s="37">
        <f t="shared" si="25"/>
        <v>100096.27890233217</v>
      </c>
      <c r="G65" s="37">
        <f t="shared" si="25"/>
        <v>101112.96667653401</v>
      </c>
      <c r="H65" s="37">
        <f t="shared" si="25"/>
        <v>102161.91355267113</v>
      </c>
      <c r="I65" s="37">
        <f t="shared" si="25"/>
        <v>103847.48752695709</v>
      </c>
      <c r="J65" s="37">
        <f t="shared" si="25"/>
        <v>105562.1557188727</v>
      </c>
      <c r="K65" s="37">
        <f t="shared" si="25"/>
        <v>107287.88288042971</v>
      </c>
      <c r="L65" s="37">
        <f t="shared" si="25"/>
        <v>109016.27254338136</v>
      </c>
      <c r="M65" s="37">
        <f t="shared" si="25"/>
        <v>110745.72679776559</v>
      </c>
      <c r="N65" s="37">
        <f t="shared" si="25"/>
        <v>112453.50703982703</v>
      </c>
      <c r="O65" s="37">
        <f t="shared" si="25"/>
        <v>114126.91717695082</v>
      </c>
      <c r="P65" s="37">
        <f t="shared" si="25"/>
        <v>115755.09046778291</v>
      </c>
      <c r="Q65" s="37">
        <f t="shared" si="25"/>
        <v>117318.04733592662</v>
      </c>
      <c r="R65" s="37">
        <f t="shared" si="25"/>
        <v>118802.97819634801</v>
      </c>
      <c r="S65" s="37">
        <f t="shared" si="25"/>
        <v>120081.89712996071</v>
      </c>
      <c r="T65" s="37">
        <f t="shared" si="25"/>
        <v>121260.32919669058</v>
      </c>
      <c r="U65" s="37">
        <f t="shared" si="25"/>
        <v>122335.86613355197</v>
      </c>
      <c r="V65" s="37">
        <f t="shared" si="25"/>
        <v>123277.14583005248</v>
      </c>
      <c r="W65" s="37">
        <f t="shared" si="25"/>
        <v>124075.27311568397</v>
      </c>
      <c r="X65" s="37">
        <f t="shared" si="25"/>
        <v>124726.36565326732</v>
      </c>
      <c r="Y65" s="37">
        <f t="shared" si="25"/>
        <v>125295.65185604921</v>
      </c>
      <c r="Z65" s="37">
        <f t="shared" si="25"/>
        <v>125724.78159310792</v>
      </c>
      <c r="AA65" s="37">
        <f t="shared" si="25"/>
        <v>126009.80028722457</v>
      </c>
      <c r="AB65" s="37">
        <f t="shared" si="25"/>
        <v>126157.47099128236</v>
      </c>
    </row>
    <row r="67" spans="1:28" x14ac:dyDescent="0.25">
      <c r="A67" s="4" t="s">
        <v>328</v>
      </c>
    </row>
    <row r="68" spans="1:28" x14ac:dyDescent="0.25">
      <c r="A68" s="4" t="s">
        <v>329</v>
      </c>
      <c r="B68" s="40">
        <f t="shared" ref="B68:AB68" si="26">B48+B49</f>
        <v>554.58555463552</v>
      </c>
      <c r="C68" s="40">
        <f t="shared" si="26"/>
        <v>555.66173230653385</v>
      </c>
      <c r="D68" s="40">
        <f t="shared" si="26"/>
        <v>549.12964019438107</v>
      </c>
      <c r="E68" s="40">
        <f t="shared" si="26"/>
        <v>542.68920168805073</v>
      </c>
      <c r="F68" s="40">
        <f t="shared" si="26"/>
        <v>536.24568108403901</v>
      </c>
      <c r="G68" s="40">
        <f t="shared" si="26"/>
        <v>529.86611912507703</v>
      </c>
      <c r="H68" s="40">
        <f t="shared" si="26"/>
        <v>523.52058245516207</v>
      </c>
      <c r="I68" s="40">
        <f t="shared" si="26"/>
        <v>520.31389741570797</v>
      </c>
      <c r="J68" s="40">
        <f t="shared" si="26"/>
        <v>517.05260693303273</v>
      </c>
      <c r="K68" s="40">
        <f t="shared" si="26"/>
        <v>513.67708773441404</v>
      </c>
      <c r="L68" s="40">
        <f t="shared" si="26"/>
        <v>510.22689439970009</v>
      </c>
      <c r="M68" s="40">
        <f t="shared" si="26"/>
        <v>506.66154682399099</v>
      </c>
      <c r="N68" s="40">
        <f t="shared" si="26"/>
        <v>503.04504639011475</v>
      </c>
      <c r="O68" s="40">
        <f t="shared" si="26"/>
        <v>499.25685121406138</v>
      </c>
      <c r="P68" s="40">
        <f t="shared" si="26"/>
        <v>495.2795384297782</v>
      </c>
      <c r="Q68" s="40">
        <f t="shared" si="26"/>
        <v>491.21825672600494</v>
      </c>
      <c r="R68" s="40">
        <f t="shared" si="26"/>
        <v>486.99709561835692</v>
      </c>
      <c r="S68" s="40">
        <f t="shared" si="26"/>
        <v>482.2485153607937</v>
      </c>
      <c r="T68" s="40">
        <f t="shared" si="26"/>
        <v>477.47651582267929</v>
      </c>
      <c r="U68" s="40">
        <f t="shared" si="26"/>
        <v>472.74230919059374</v>
      </c>
      <c r="V68" s="40">
        <f t="shared" si="26"/>
        <v>468.10626489020893</v>
      </c>
      <c r="W68" s="40">
        <f t="shared" si="26"/>
        <v>463.56000558427479</v>
      </c>
      <c r="X68" s="40">
        <f t="shared" si="26"/>
        <v>459.25929404055546</v>
      </c>
      <c r="Y68" s="40">
        <f t="shared" si="26"/>
        <v>455.10635949031291</v>
      </c>
      <c r="Z68" s="40">
        <f t="shared" si="26"/>
        <v>451.09024660380271</v>
      </c>
      <c r="AA68" s="40">
        <f t="shared" si="26"/>
        <v>447.20916438642553</v>
      </c>
      <c r="AB68" s="40">
        <f t="shared" si="26"/>
        <v>443.52744802292898</v>
      </c>
    </row>
    <row r="69" spans="1:28" x14ac:dyDescent="0.25">
      <c r="A69" s="4" t="s">
        <v>330</v>
      </c>
      <c r="B69" s="40">
        <f t="shared" ref="B69:AB69" si="27">B50+B51+B52+B53</f>
        <v>611.76511296797287</v>
      </c>
      <c r="C69" s="40">
        <f t="shared" si="27"/>
        <v>612.15757219097009</v>
      </c>
      <c r="D69" s="40">
        <f t="shared" si="27"/>
        <v>604.18977644744348</v>
      </c>
      <c r="E69" s="40">
        <f t="shared" si="27"/>
        <v>596.28443704754795</v>
      </c>
      <c r="F69" s="40">
        <f t="shared" si="27"/>
        <v>588.36079261510667</v>
      </c>
      <c r="G69" s="40">
        <f t="shared" si="27"/>
        <v>580.52324940143399</v>
      </c>
      <c r="H69" s="40">
        <f t="shared" si="27"/>
        <v>572.68506364181439</v>
      </c>
      <c r="I69" s="40">
        <f t="shared" si="27"/>
        <v>568.31588040591009</v>
      </c>
      <c r="J69" s="40">
        <f t="shared" si="27"/>
        <v>563.90172257289453</v>
      </c>
      <c r="K69" s="40">
        <f t="shared" si="27"/>
        <v>559.36725235860968</v>
      </c>
      <c r="L69" s="40">
        <f t="shared" si="27"/>
        <v>554.83074283851477</v>
      </c>
      <c r="M69" s="40">
        <f t="shared" si="27"/>
        <v>550.25937554311588</v>
      </c>
      <c r="N69" s="40">
        <f t="shared" si="27"/>
        <v>545.65115616871162</v>
      </c>
      <c r="O69" s="40">
        <f t="shared" si="27"/>
        <v>540.94598362425802</v>
      </c>
      <c r="P69" s="40">
        <f t="shared" si="27"/>
        <v>536.08405457853928</v>
      </c>
      <c r="Q69" s="40">
        <f t="shared" si="27"/>
        <v>531.17744567149305</v>
      </c>
      <c r="R69" s="40">
        <f t="shared" si="27"/>
        <v>526.17100150572617</v>
      </c>
      <c r="S69" s="40">
        <f t="shared" si="27"/>
        <v>520.59515022701271</v>
      </c>
      <c r="T69" s="40">
        <f t="shared" si="27"/>
        <v>515.01139070718693</v>
      </c>
      <c r="U69" s="40">
        <f t="shared" si="27"/>
        <v>509.48912091219626</v>
      </c>
      <c r="V69" s="40">
        <f t="shared" si="27"/>
        <v>504.09244740119721</v>
      </c>
      <c r="W69" s="40">
        <f t="shared" si="27"/>
        <v>498.75754847806706</v>
      </c>
      <c r="X69" s="40">
        <f t="shared" si="27"/>
        <v>493.71233298294266</v>
      </c>
      <c r="Y69" s="40">
        <f t="shared" si="27"/>
        <v>488.84621900579532</v>
      </c>
      <c r="Z69" s="40">
        <f t="shared" si="27"/>
        <v>484.13213373805081</v>
      </c>
      <c r="AA69" s="40">
        <f t="shared" si="27"/>
        <v>479.58222767957398</v>
      </c>
      <c r="AB69" s="40">
        <f t="shared" si="27"/>
        <v>475.21428871910678</v>
      </c>
    </row>
    <row r="70" spans="1:28" x14ac:dyDescent="0.25">
      <c r="A70" s="4" t="s">
        <v>331</v>
      </c>
      <c r="B70" s="40">
        <f t="shared" ref="B70:AB70" si="28">B54+B55</f>
        <v>547.11746392569682</v>
      </c>
      <c r="C70" s="40">
        <f t="shared" si="28"/>
        <v>547.51540602257228</v>
      </c>
      <c r="D70" s="40">
        <f t="shared" si="28"/>
        <v>540.37880313123958</v>
      </c>
      <c r="E70" s="40">
        <f t="shared" si="28"/>
        <v>533.32072236530985</v>
      </c>
      <c r="F70" s="40">
        <f t="shared" si="28"/>
        <v>526.20552233515264</v>
      </c>
      <c r="G70" s="40">
        <f t="shared" si="28"/>
        <v>519.21437358459832</v>
      </c>
      <c r="H70" s="40">
        <f t="shared" si="28"/>
        <v>512.26729103622824</v>
      </c>
      <c r="I70" s="40">
        <f t="shared" si="28"/>
        <v>508.40554919589539</v>
      </c>
      <c r="J70" s="40">
        <f t="shared" si="28"/>
        <v>504.49920777953997</v>
      </c>
      <c r="K70" s="40">
        <f t="shared" si="28"/>
        <v>500.49402932104834</v>
      </c>
      <c r="L70" s="40">
        <f t="shared" si="28"/>
        <v>496.44069362294744</v>
      </c>
      <c r="M70" s="40">
        <f t="shared" si="28"/>
        <v>492.30286319091607</v>
      </c>
      <c r="N70" s="40">
        <f t="shared" si="28"/>
        <v>488.15059819128362</v>
      </c>
      <c r="O70" s="40">
        <f t="shared" si="28"/>
        <v>483.83941686337624</v>
      </c>
      <c r="P70" s="40">
        <f t="shared" si="28"/>
        <v>479.41356117583439</v>
      </c>
      <c r="Q70" s="40">
        <f t="shared" si="28"/>
        <v>474.93030323284756</v>
      </c>
      <c r="R70" s="40">
        <f t="shared" si="28"/>
        <v>470.36092684353088</v>
      </c>
      <c r="S70" s="40">
        <f t="shared" si="28"/>
        <v>465.2656874245813</v>
      </c>
      <c r="T70" s="40">
        <f t="shared" si="28"/>
        <v>460.20156075223815</v>
      </c>
      <c r="U70" s="40">
        <f t="shared" si="28"/>
        <v>455.23536598866474</v>
      </c>
      <c r="V70" s="40">
        <f t="shared" si="28"/>
        <v>450.36955526093811</v>
      </c>
      <c r="W70" s="40">
        <f t="shared" si="28"/>
        <v>445.67674416357818</v>
      </c>
      <c r="X70" s="40">
        <f t="shared" si="28"/>
        <v>441.17363884998196</v>
      </c>
      <c r="Y70" s="40">
        <f t="shared" si="28"/>
        <v>436.84251452182781</v>
      </c>
      <c r="Z70" s="40">
        <f t="shared" si="28"/>
        <v>432.66175164505808</v>
      </c>
      <c r="AA70" s="40">
        <f t="shared" si="28"/>
        <v>428.60974062454312</v>
      </c>
      <c r="AB70" s="40">
        <f t="shared" si="28"/>
        <v>424.73912304772102</v>
      </c>
    </row>
    <row r="71" spans="1:28" x14ac:dyDescent="0.25">
      <c r="A71" s="4" t="s">
        <v>332</v>
      </c>
      <c r="B71" s="40">
        <f t="shared" ref="B71:AB71" si="29">B58+B59</f>
        <v>95021.552418164385</v>
      </c>
      <c r="C71" s="40">
        <f t="shared" si="29"/>
        <v>97460.442315222725</v>
      </c>
      <c r="D71" s="40">
        <f t="shared" si="29"/>
        <v>98567.482539204721</v>
      </c>
      <c r="E71" s="40">
        <f t="shared" si="29"/>
        <v>99691.892505326585</v>
      </c>
      <c r="F71" s="40">
        <f t="shared" si="29"/>
        <v>100851.61617929288</v>
      </c>
      <c r="G71" s="40">
        <f t="shared" si="29"/>
        <v>102050.40848936629</v>
      </c>
      <c r="H71" s="40">
        <f t="shared" si="29"/>
        <v>103288.93098811037</v>
      </c>
      <c r="I71" s="40">
        <f t="shared" si="29"/>
        <v>105180.21523605159</v>
      </c>
      <c r="J71" s="40">
        <f t="shared" si="29"/>
        <v>107109.38237138715</v>
      </c>
      <c r="K71" s="40">
        <f t="shared" si="29"/>
        <v>109062.31546678591</v>
      </c>
      <c r="L71" s="40">
        <f t="shared" si="29"/>
        <v>111033.39951068367</v>
      </c>
      <c r="M71" s="40">
        <f t="shared" si="29"/>
        <v>113018.50438819997</v>
      </c>
      <c r="N71" s="40">
        <f t="shared" si="29"/>
        <v>114999.94652937329</v>
      </c>
      <c r="O71" s="40">
        <f t="shared" si="29"/>
        <v>116964.10647804226</v>
      </c>
      <c r="P71" s="40">
        <f t="shared" si="29"/>
        <v>118900.70637169524</v>
      </c>
      <c r="Q71" s="40">
        <f t="shared" si="29"/>
        <v>120791.96723502368</v>
      </c>
      <c r="R71" s="40">
        <f t="shared" si="29"/>
        <v>122623.65147070641</v>
      </c>
      <c r="S71" s="40">
        <f t="shared" si="29"/>
        <v>124264.68286437774</v>
      </c>
      <c r="T71" s="40">
        <f t="shared" si="29"/>
        <v>125824.50235586232</v>
      </c>
      <c r="U71" s="40">
        <f t="shared" si="29"/>
        <v>127299.85757292883</v>
      </c>
      <c r="V71" s="40">
        <f t="shared" si="29"/>
        <v>128660.09388332276</v>
      </c>
      <c r="W71" s="40">
        <f t="shared" si="29"/>
        <v>129894.67522672095</v>
      </c>
      <c r="X71" s="40">
        <f t="shared" si="29"/>
        <v>131002.17310495752</v>
      </c>
      <c r="Y71" s="40">
        <f t="shared" si="29"/>
        <v>132038.92402388767</v>
      </c>
      <c r="Z71" s="40">
        <f t="shared" si="29"/>
        <v>132951.25857590494</v>
      </c>
      <c r="AA71" s="40">
        <f t="shared" si="29"/>
        <v>133731.29362899147</v>
      </c>
      <c r="AB71" s="40">
        <f t="shared" si="29"/>
        <v>134384.57836700132</v>
      </c>
    </row>
    <row r="72" spans="1:28" x14ac:dyDescent="0.25">
      <c r="A72" s="4" t="s">
        <v>333</v>
      </c>
      <c r="B72" s="40">
        <f t="shared" ref="B72:AB72" si="30">B60+B61+B62+B63</f>
        <v>94893.306290911059</v>
      </c>
      <c r="C72" s="40">
        <f t="shared" si="30"/>
        <v>97307.903103094461</v>
      </c>
      <c r="D72" s="40">
        <f t="shared" si="30"/>
        <v>98392.332983007669</v>
      </c>
      <c r="E72" s="40">
        <f t="shared" si="30"/>
        <v>99491.279611169783</v>
      </c>
      <c r="F72" s="40">
        <f t="shared" si="30"/>
        <v>100623.48456928195</v>
      </c>
      <c r="G72" s="40">
        <f t="shared" si="30"/>
        <v>101792.78909186693</v>
      </c>
      <c r="H72" s="40">
        <f t="shared" si="30"/>
        <v>102999.32265364409</v>
      </c>
      <c r="I72" s="40">
        <f t="shared" si="30"/>
        <v>104855.19497813002</v>
      </c>
      <c r="J72" s="40">
        <f t="shared" si="30"/>
        <v>106747.94508497701</v>
      </c>
      <c r="K72" s="40">
        <f t="shared" si="30"/>
        <v>108664.53432921342</v>
      </c>
      <c r="L72" s="40">
        <f t="shared" si="30"/>
        <v>110599.27997629011</v>
      </c>
      <c r="M72" s="40">
        <f t="shared" si="30"/>
        <v>112548.27566658167</v>
      </c>
      <c r="N72" s="40">
        <f t="shared" si="30"/>
        <v>114495.88411378482</v>
      </c>
      <c r="O72" s="40">
        <f t="shared" si="30"/>
        <v>116427.51298179341</v>
      </c>
      <c r="P72" s="40">
        <f t="shared" si="30"/>
        <v>118334.85872870902</v>
      </c>
      <c r="Q72" s="40">
        <f t="shared" si="30"/>
        <v>120199.98736784786</v>
      </c>
      <c r="R72" s="40">
        <f t="shared" si="30"/>
        <v>122009.56765763384</v>
      </c>
      <c r="S72" s="40">
        <f t="shared" si="30"/>
        <v>123634.453684131</v>
      </c>
      <c r="T72" s="40">
        <f t="shared" si="30"/>
        <v>125182.10425603868</v>
      </c>
      <c r="U72" s="40">
        <f t="shared" si="30"/>
        <v>126650.1730964372</v>
      </c>
      <c r="V72" s="40">
        <f t="shared" si="30"/>
        <v>128008.89405774038</v>
      </c>
      <c r="W72" s="40">
        <f t="shared" si="30"/>
        <v>129246.88538822166</v>
      </c>
      <c r="X72" s="40">
        <f t="shared" si="30"/>
        <v>130361.67307521412</v>
      </c>
      <c r="Y72" s="40">
        <f t="shared" si="30"/>
        <v>131408.28484259229</v>
      </c>
      <c r="Z72" s="40">
        <f t="shared" si="30"/>
        <v>132333.81474380245</v>
      </c>
      <c r="AA72" s="40">
        <f t="shared" si="30"/>
        <v>133131.03621583449</v>
      </c>
      <c r="AB72" s="40">
        <f t="shared" si="30"/>
        <v>133804.05135834354</v>
      </c>
    </row>
    <row r="73" spans="1:28" x14ac:dyDescent="0.25">
      <c r="A73" s="4" t="s">
        <v>334</v>
      </c>
      <c r="B73" s="40">
        <f t="shared" ref="B73:AB73" si="31">B64+B65</f>
        <v>100013.49831176709</v>
      </c>
      <c r="C73" s="40">
        <f t="shared" si="31"/>
        <v>102510.00930759746</v>
      </c>
      <c r="D73" s="40">
        <f t="shared" si="31"/>
        <v>103602.25144551841</v>
      </c>
      <c r="E73" s="40">
        <f t="shared" si="31"/>
        <v>104710.54059606645</v>
      </c>
      <c r="F73" s="40">
        <f t="shared" si="31"/>
        <v>105854.31296072627</v>
      </c>
      <c r="G73" s="40">
        <f t="shared" si="31"/>
        <v>107037.13025125841</v>
      </c>
      <c r="H73" s="40">
        <f t="shared" si="31"/>
        <v>108258.10878999709</v>
      </c>
      <c r="I73" s="40">
        <f t="shared" si="31"/>
        <v>110158.92814347566</v>
      </c>
      <c r="J73" s="40">
        <f t="shared" si="31"/>
        <v>112095.35697731991</v>
      </c>
      <c r="K73" s="40">
        <f t="shared" si="31"/>
        <v>114050.93474361209</v>
      </c>
      <c r="L73" s="40">
        <f t="shared" si="31"/>
        <v>116018.50030265878</v>
      </c>
      <c r="M73" s="40">
        <f t="shared" si="31"/>
        <v>117994.83083770142</v>
      </c>
      <c r="N73" s="40">
        <f t="shared" si="31"/>
        <v>119959.15624094804</v>
      </c>
      <c r="O73" s="40">
        <f t="shared" si="31"/>
        <v>121897.6246860695</v>
      </c>
      <c r="P73" s="40">
        <f t="shared" si="31"/>
        <v>123799.11141383408</v>
      </c>
      <c r="Q73" s="40">
        <f t="shared" si="31"/>
        <v>125644.07584904988</v>
      </c>
      <c r="R73" s="40">
        <f t="shared" si="31"/>
        <v>127418.11020898508</v>
      </c>
      <c r="S73" s="40">
        <f t="shared" si="31"/>
        <v>128984.68806419816</v>
      </c>
      <c r="T73" s="40">
        <f t="shared" si="31"/>
        <v>130457.32154719792</v>
      </c>
      <c r="U73" s="40">
        <f t="shared" si="31"/>
        <v>131833.03939952984</v>
      </c>
      <c r="V73" s="40">
        <f t="shared" si="31"/>
        <v>133079.25611491728</v>
      </c>
      <c r="W73" s="40">
        <f t="shared" si="31"/>
        <v>134185.75169991521</v>
      </c>
      <c r="X73" s="40">
        <f t="shared" si="31"/>
        <v>135149.88758842574</v>
      </c>
      <c r="Y73" s="40">
        <f t="shared" si="31"/>
        <v>136034.81467418987</v>
      </c>
      <c r="Z73" s="40">
        <f t="shared" si="31"/>
        <v>136782.03831836645</v>
      </c>
      <c r="AA73" s="40">
        <f t="shared" si="31"/>
        <v>137385.10978388891</v>
      </c>
      <c r="AB73" s="40">
        <f t="shared" si="31"/>
        <v>137850.44762717816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304.47079001613889</v>
      </c>
      <c r="C2" s="37">
        <f>BDbDT_calcs!C48</f>
        <v>304.77346206603301</v>
      </c>
      <c r="D2" s="37">
        <f>BDbDT_calcs!D48</f>
        <v>300.88743504316017</v>
      </c>
      <c r="E2" s="37">
        <f>BDbDT_calcs!E48</f>
        <v>297.07293384908098</v>
      </c>
      <c r="F2" s="37">
        <f>BDbDT_calcs!F48</f>
        <v>293.266717155565</v>
      </c>
      <c r="G2" s="37">
        <f>BDbDT_calcs!G48</f>
        <v>289.46914455855432</v>
      </c>
      <c r="H2" s="37">
        <f>BDbDT_calcs!H48</f>
        <v>285.68203735392251</v>
      </c>
      <c r="I2" s="37">
        <f>BDbDT_calcs!I48</f>
        <v>283.74190307751638</v>
      </c>
      <c r="J2" s="37">
        <f>BDbDT_calcs!J48</f>
        <v>281.61575805467339</v>
      </c>
      <c r="K2" s="37">
        <f>BDbDT_calcs!K48</f>
        <v>279.54852178162446</v>
      </c>
      <c r="L2" s="37">
        <f>BDbDT_calcs!L48</f>
        <v>277.31603104987437</v>
      </c>
      <c r="M2" s="37">
        <f>BDbDT_calcs!M48</f>
        <v>275.14218004882451</v>
      </c>
      <c r="N2" s="37">
        <f>BDbDT_calcs!N48</f>
        <v>273.05910561552622</v>
      </c>
      <c r="O2" s="37">
        <f>BDbDT_calcs!O48</f>
        <v>270.61471381856524</v>
      </c>
      <c r="P2" s="37">
        <f>BDbDT_calcs!P48</f>
        <v>268.29122651750896</v>
      </c>
      <c r="Q2" s="37">
        <f>BDbDT_calcs!Q48</f>
        <v>265.79582755484171</v>
      </c>
      <c r="R2" s="37">
        <f>BDbDT_calcs!R48</f>
        <v>263.28810199346498</v>
      </c>
      <c r="S2" s="37">
        <f>BDbDT_calcs!S48</f>
        <v>260.44918407836195</v>
      </c>
      <c r="T2" s="37">
        <f>BDbDT_calcs!T48</f>
        <v>257.63287920780721</v>
      </c>
      <c r="U2" s="37">
        <f>BDbDT_calcs!U48</f>
        <v>254.83591146178514</v>
      </c>
      <c r="V2" s="37">
        <f>BDbDT_calcs!V48</f>
        <v>252.0542426677512</v>
      </c>
      <c r="W2" s="37">
        <f>BDbDT_calcs!W48</f>
        <v>249.31647142694766</v>
      </c>
      <c r="X2" s="37">
        <f>BDbDT_calcs!X48</f>
        <v>246.84965259159785</v>
      </c>
      <c r="Y2" s="37">
        <f>BDbDT_calcs!Y48</f>
        <v>244.3881378352379</v>
      </c>
      <c r="Z2" s="37">
        <f>BDbDT_calcs!Z48</f>
        <v>242.09405952358472</v>
      </c>
      <c r="AA2" s="37">
        <f>BDbDT_calcs!AA48</f>
        <v>239.83190640456502</v>
      </c>
      <c r="AB2" s="37">
        <f>BDbDT_calcs!AB48</f>
        <v>237.56502685334672</v>
      </c>
    </row>
    <row r="3" spans="1:28" x14ac:dyDescent="0.25">
      <c r="A3" s="4" t="s">
        <v>216</v>
      </c>
      <c r="B3" s="37">
        <f>BDbDT_calcs!B49</f>
        <v>250.11476461938111</v>
      </c>
      <c r="C3" s="37">
        <f>BDbDT_calcs!C49</f>
        <v>250.88827024050087</v>
      </c>
      <c r="D3" s="37">
        <f>BDbDT_calcs!D49</f>
        <v>248.24220515122087</v>
      </c>
      <c r="E3" s="37">
        <f>BDbDT_calcs!E49</f>
        <v>245.61626783896972</v>
      </c>
      <c r="F3" s="37">
        <f>BDbDT_calcs!F49</f>
        <v>242.97896392847397</v>
      </c>
      <c r="G3" s="37">
        <f>BDbDT_calcs!G49</f>
        <v>240.39697456652269</v>
      </c>
      <c r="H3" s="37">
        <f>BDbDT_calcs!H49</f>
        <v>237.83854510123956</v>
      </c>
      <c r="I3" s="37">
        <f>BDbDT_calcs!I49</f>
        <v>236.57199433819156</v>
      </c>
      <c r="J3" s="37">
        <f>BDbDT_calcs!J49</f>
        <v>235.43684887835931</v>
      </c>
      <c r="K3" s="37">
        <f>BDbDT_calcs!K49</f>
        <v>234.12856595278956</v>
      </c>
      <c r="L3" s="37">
        <f>BDbDT_calcs!L49</f>
        <v>232.91086334982569</v>
      </c>
      <c r="M3" s="37">
        <f>BDbDT_calcs!M49</f>
        <v>231.51936677516645</v>
      </c>
      <c r="N3" s="37">
        <f>BDbDT_calcs!N49</f>
        <v>229.9859407745885</v>
      </c>
      <c r="O3" s="37">
        <f>BDbDT_calcs!O49</f>
        <v>228.64213739549615</v>
      </c>
      <c r="P3" s="37">
        <f>BDbDT_calcs!P49</f>
        <v>226.98831191226924</v>
      </c>
      <c r="Q3" s="37">
        <f>BDbDT_calcs!Q49</f>
        <v>225.4224291711632</v>
      </c>
      <c r="R3" s="37">
        <f>BDbDT_calcs!R49</f>
        <v>223.70899362489195</v>
      </c>
      <c r="S3" s="37">
        <f>BDbDT_calcs!S49</f>
        <v>221.79933128243175</v>
      </c>
      <c r="T3" s="37">
        <f>BDbDT_calcs!T49</f>
        <v>219.84363661487211</v>
      </c>
      <c r="U3" s="37">
        <f>BDbDT_calcs!U49</f>
        <v>217.9063977288086</v>
      </c>
      <c r="V3" s="37">
        <f>BDbDT_calcs!V49</f>
        <v>216.05202222245774</v>
      </c>
      <c r="W3" s="37">
        <f>BDbDT_calcs!W49</f>
        <v>214.24353415732716</v>
      </c>
      <c r="X3" s="37">
        <f>BDbDT_calcs!X49</f>
        <v>212.40964144895759</v>
      </c>
      <c r="Y3" s="37">
        <f>BDbDT_calcs!Y49</f>
        <v>210.71822165507498</v>
      </c>
      <c r="Z3" s="37">
        <f>BDbDT_calcs!Z49</f>
        <v>208.99618708021802</v>
      </c>
      <c r="AA3" s="37">
        <f>BDbDT_calcs!AA49</f>
        <v>207.37725798186051</v>
      </c>
      <c r="AB3" s="37">
        <f>BDbDT_calcs!AB49</f>
        <v>205.96242116958223</v>
      </c>
    </row>
    <row r="4" spans="1:28" x14ac:dyDescent="0.25">
      <c r="A4" s="4" t="s">
        <v>217</v>
      </c>
      <c r="B4" s="37">
        <f>BDbDT_calcs!B50</f>
        <v>299.47320159808316</v>
      </c>
      <c r="C4" s="37">
        <f>BDbDT_calcs!C50</f>
        <v>300.05807431352679</v>
      </c>
      <c r="D4" s="37">
        <f>BDbDT_calcs!D50</f>
        <v>296.58249984899641</v>
      </c>
      <c r="E4" s="37">
        <f>BDbDT_calcs!E50</f>
        <v>293.11321111489639</v>
      </c>
      <c r="F4" s="37">
        <f>BDbDT_calcs!F50</f>
        <v>289.6824868546513</v>
      </c>
      <c r="G4" s="37">
        <f>BDbDT_calcs!G50</f>
        <v>286.32041330585588</v>
      </c>
      <c r="H4" s="37">
        <f>BDbDT_calcs!H50</f>
        <v>282.90846057892156</v>
      </c>
      <c r="I4" s="37">
        <f>BDbDT_calcs!I50</f>
        <v>281.25973090955284</v>
      </c>
      <c r="J4" s="37">
        <f>BDbDT_calcs!J50</f>
        <v>279.49924896732051</v>
      </c>
      <c r="K4" s="37">
        <f>BDbDT_calcs!K50</f>
        <v>277.64644535703917</v>
      </c>
      <c r="L4" s="37">
        <f>BDbDT_calcs!L50</f>
        <v>275.67085172819333</v>
      </c>
      <c r="M4" s="37">
        <f>BDbDT_calcs!M50</f>
        <v>273.57163342783156</v>
      </c>
      <c r="N4" s="37">
        <f>BDbDT_calcs!N50</f>
        <v>271.34755819778491</v>
      </c>
      <c r="O4" s="37">
        <f>BDbDT_calcs!O50</f>
        <v>268.90626578963236</v>
      </c>
      <c r="P4" s="37">
        <f>BDbDT_calcs!P50</f>
        <v>266.36686423663673</v>
      </c>
      <c r="Q4" s="37">
        <f>BDbDT_calcs!Q50</f>
        <v>263.69654971460039</v>
      </c>
      <c r="R4" s="37">
        <f>BDbDT_calcs!R50</f>
        <v>260.89235158201382</v>
      </c>
      <c r="S4" s="37">
        <f>BDbDT_calcs!S50</f>
        <v>257.76352234570214</v>
      </c>
      <c r="T4" s="37">
        <f>BDbDT_calcs!T50</f>
        <v>254.65576283319515</v>
      </c>
      <c r="U4" s="37">
        <f>BDbDT_calcs!U50</f>
        <v>251.56570159132303</v>
      </c>
      <c r="V4" s="37">
        <f>BDbDT_calcs!V50</f>
        <v>248.52007072727523</v>
      </c>
      <c r="W4" s="37">
        <f>BDbDT_calcs!W50</f>
        <v>245.57655307994756</v>
      </c>
      <c r="X4" s="37">
        <f>BDbDT_calcs!X50</f>
        <v>242.76252988319769</v>
      </c>
      <c r="Y4" s="37">
        <f>BDbDT_calcs!Y50</f>
        <v>240.01387140238199</v>
      </c>
      <c r="Z4" s="37">
        <f>BDbDT_calcs!Z50</f>
        <v>237.35839702756616</v>
      </c>
      <c r="AA4" s="37">
        <f>BDbDT_calcs!AA50</f>
        <v>234.85563119252464</v>
      </c>
      <c r="AB4" s="37">
        <f>BDbDT_calcs!AB50</f>
        <v>232.44065615471965</v>
      </c>
    </row>
    <row r="5" spans="1:28" x14ac:dyDescent="0.25">
      <c r="A5" s="4" t="s">
        <v>218</v>
      </c>
      <c r="B5" s="37">
        <f>BDbDT_calcs!B51</f>
        <v>246.92530022914534</v>
      </c>
      <c r="C5" s="37">
        <f>BDbDT_calcs!C51</f>
        <v>245.69566270235981</v>
      </c>
      <c r="D5" s="37">
        <f>BDbDT_calcs!D51</f>
        <v>241.1632842690932</v>
      </c>
      <c r="E5" s="37">
        <f>BDbDT_calcs!E51</f>
        <v>236.59700372944766</v>
      </c>
      <c r="F5" s="37">
        <f>BDbDT_calcs!F51</f>
        <v>231.99849174180798</v>
      </c>
      <c r="G5" s="37">
        <f>BDbDT_calcs!G51</f>
        <v>227.47242974326321</v>
      </c>
      <c r="H5" s="37">
        <f>BDbDT_calcs!H51</f>
        <v>222.86282114994563</v>
      </c>
      <c r="I5" s="37">
        <f>BDbDT_calcs!I51</f>
        <v>219.67627120931991</v>
      </c>
      <c r="J5" s="37">
        <f>BDbDT_calcs!J51</f>
        <v>216.51331446321569</v>
      </c>
      <c r="K5" s="37">
        <f>BDbDT_calcs!K51</f>
        <v>213.3655021377914</v>
      </c>
      <c r="L5" s="37">
        <f>BDbDT_calcs!L51</f>
        <v>210.33711251955395</v>
      </c>
      <c r="M5" s="37">
        <f>BDbDT_calcs!M51</f>
        <v>207.48067021277654</v>
      </c>
      <c r="N5" s="37">
        <f>BDbDT_calcs!N51</f>
        <v>204.63871540572433</v>
      </c>
      <c r="O5" s="37">
        <f>BDbDT_calcs!O51</f>
        <v>201.9686225683389</v>
      </c>
      <c r="P5" s="37">
        <f>BDbDT_calcs!P51</f>
        <v>199.31205964404441</v>
      </c>
      <c r="Q5" s="37">
        <f>BDbDT_calcs!Q51</f>
        <v>196.77362534975299</v>
      </c>
      <c r="R5" s="37">
        <f>BDbDT_calcs!R51</f>
        <v>194.29949962791125</v>
      </c>
      <c r="S5" s="37">
        <f>BDbDT_calcs!S51</f>
        <v>191.65020621280587</v>
      </c>
      <c r="T5" s="37">
        <f>BDbDT_calcs!T51</f>
        <v>189.06860162639347</v>
      </c>
      <c r="U5" s="37">
        <f>BDbDT_calcs!U51</f>
        <v>186.49893898648546</v>
      </c>
      <c r="V5" s="37">
        <f>BDbDT_calcs!V51</f>
        <v>184.0452515737876</v>
      </c>
      <c r="W5" s="37">
        <f>BDbDT_calcs!W51</f>
        <v>181.54380331989395</v>
      </c>
      <c r="X5" s="37">
        <f>BDbDT_calcs!X51</f>
        <v>179.15250988546669</v>
      </c>
      <c r="Y5" s="37">
        <f>BDbDT_calcs!Y51</f>
        <v>176.92396317615734</v>
      </c>
      <c r="Z5" s="37">
        <f>BDbDT_calcs!Z51</f>
        <v>174.69410468452091</v>
      </c>
      <c r="AA5" s="37">
        <f>BDbDT_calcs!AA51</f>
        <v>172.56873162055118</v>
      </c>
      <c r="AB5" s="37">
        <f>BDbDT_calcs!AB51</f>
        <v>170.43719281451519</v>
      </c>
    </row>
    <row r="6" spans="1:28" x14ac:dyDescent="0.25">
      <c r="A6" s="4" t="s">
        <v>219</v>
      </c>
      <c r="B6" s="37">
        <f>BDbDT_calcs!B52</f>
        <v>17.519595431669064</v>
      </c>
      <c r="C6" s="37">
        <f>BDbDT_calcs!C52</f>
        <v>17.731891924314581</v>
      </c>
      <c r="D6" s="37">
        <f>BDbDT_calcs!D52</f>
        <v>17.703053646461395</v>
      </c>
      <c r="E6" s="37">
        <f>BDbDT_calcs!E52</f>
        <v>17.69674278434988</v>
      </c>
      <c r="F6" s="37">
        <f>BDbDT_calcs!F52</f>
        <v>17.692606713463896</v>
      </c>
      <c r="G6" s="37">
        <f>BDbDT_calcs!G52</f>
        <v>17.690724950957655</v>
      </c>
      <c r="H6" s="37">
        <f>BDbDT_calcs!H52</f>
        <v>17.691273611874699</v>
      </c>
      <c r="I6" s="37">
        <f>BDbDT_calcs!I52</f>
        <v>17.799584545951323</v>
      </c>
      <c r="J6" s="37">
        <f>BDbDT_calcs!J52</f>
        <v>17.91102814002922</v>
      </c>
      <c r="K6" s="37">
        <f>BDbDT_calcs!K52</f>
        <v>18.065353341421179</v>
      </c>
      <c r="L6" s="37">
        <f>BDbDT_calcs!L52</f>
        <v>18.182195154696739</v>
      </c>
      <c r="M6" s="37">
        <f>BDbDT_calcs!M52</f>
        <v>18.301862245545717</v>
      </c>
      <c r="N6" s="37">
        <f>BDbDT_calcs!N52</f>
        <v>18.424444434982671</v>
      </c>
      <c r="O6" s="37">
        <f>BDbDT_calcs!O52</f>
        <v>18.550034826904156</v>
      </c>
      <c r="P6" s="37">
        <f>BDbDT_calcs!P52</f>
        <v>18.658336243855523</v>
      </c>
      <c r="Q6" s="37">
        <f>BDbDT_calcs!Q52</f>
        <v>18.790068514165252</v>
      </c>
      <c r="R6" s="37">
        <f>BDbDT_calcs!R52</f>
        <v>18.883965203261109</v>
      </c>
      <c r="S6" s="37">
        <f>BDbDT_calcs!S52</f>
        <v>18.982966069157797</v>
      </c>
      <c r="T6" s="37">
        <f>BDbDT_calcs!T52</f>
        <v>19.105436371831772</v>
      </c>
      <c r="U6" s="37">
        <f>BDbDT_calcs!U52</f>
        <v>19.189564501493951</v>
      </c>
      <c r="V6" s="37">
        <f>BDbDT_calcs!V52</f>
        <v>19.296864664613089</v>
      </c>
      <c r="W6" s="37">
        <f>BDbDT_calcs!W52</f>
        <v>19.406551868038584</v>
      </c>
      <c r="X6" s="37">
        <f>BDbDT_calcs!X52</f>
        <v>19.497628573666976</v>
      </c>
      <c r="Y6" s="37">
        <f>BDbDT_calcs!Y52</f>
        <v>19.632246910952979</v>
      </c>
      <c r="Z6" s="37">
        <f>BDbDT_calcs!Z52</f>
        <v>19.727009029924051</v>
      </c>
      <c r="AA6" s="37">
        <f>BDbDT_calcs!AA52</f>
        <v>19.823199047015418</v>
      </c>
      <c r="AB6" s="37">
        <f>BDbDT_calcs!AB52</f>
        <v>19.920571606255152</v>
      </c>
    </row>
    <row r="7" spans="1:28" x14ac:dyDescent="0.25">
      <c r="A7" s="4" t="s">
        <v>220</v>
      </c>
      <c r="B7" s="37">
        <f>BDbDT_calcs!B53</f>
        <v>47.847015709075272</v>
      </c>
      <c r="C7" s="37">
        <f>BDbDT_calcs!C53</f>
        <v>48.671943250768891</v>
      </c>
      <c r="D7" s="37">
        <f>BDbDT_calcs!D53</f>
        <v>48.740938682892448</v>
      </c>
      <c r="E7" s="37">
        <f>BDbDT_calcs!E53</f>
        <v>48.877479418854072</v>
      </c>
      <c r="F7" s="37">
        <f>BDbDT_calcs!F53</f>
        <v>48.987207305183603</v>
      </c>
      <c r="G7" s="37">
        <f>BDbDT_calcs!G53</f>
        <v>49.039681401357285</v>
      </c>
      <c r="H7" s="37">
        <f>BDbDT_calcs!H53</f>
        <v>49.222508301072466</v>
      </c>
      <c r="I7" s="37">
        <f>BDbDT_calcs!I53</f>
        <v>49.580293741086109</v>
      </c>
      <c r="J7" s="37">
        <f>BDbDT_calcs!J53</f>
        <v>49.978131002329015</v>
      </c>
      <c r="K7" s="37">
        <f>BDbDT_calcs!K53</f>
        <v>50.289951522357867</v>
      </c>
      <c r="L7" s="37">
        <f>BDbDT_calcs!L53</f>
        <v>50.640583436070742</v>
      </c>
      <c r="M7" s="37">
        <f>BDbDT_calcs!M53</f>
        <v>50.905209656962057</v>
      </c>
      <c r="N7" s="37">
        <f>BDbDT_calcs!N53</f>
        <v>51.240438130219715</v>
      </c>
      <c r="O7" s="37">
        <f>BDbDT_calcs!O53</f>
        <v>51.521060439382602</v>
      </c>
      <c r="P7" s="37">
        <f>BDbDT_calcs!P53</f>
        <v>51.74679445400259</v>
      </c>
      <c r="Q7" s="37">
        <f>BDbDT_calcs!Q53</f>
        <v>51.917202092974478</v>
      </c>
      <c r="R7" s="37">
        <f>BDbDT_calcs!R53</f>
        <v>52.095185092540071</v>
      </c>
      <c r="S7" s="37">
        <f>BDbDT_calcs!S53</f>
        <v>52.19845559934695</v>
      </c>
      <c r="T7" s="37">
        <f>BDbDT_calcs!T53</f>
        <v>52.181589875766555</v>
      </c>
      <c r="U7" s="37">
        <f>BDbDT_calcs!U53</f>
        <v>52.234915832893748</v>
      </c>
      <c r="V7" s="37">
        <f>BDbDT_calcs!V53</f>
        <v>52.230260435521288</v>
      </c>
      <c r="W7" s="37">
        <f>BDbDT_calcs!W53</f>
        <v>52.230640210186934</v>
      </c>
      <c r="X7" s="37">
        <f>BDbDT_calcs!X53</f>
        <v>52.299664640611283</v>
      </c>
      <c r="Y7" s="37">
        <f>BDbDT_calcs!Y53</f>
        <v>52.276137516303045</v>
      </c>
      <c r="Z7" s="37">
        <f>BDbDT_calcs!Z53</f>
        <v>52.352622996039713</v>
      </c>
      <c r="AA7" s="37">
        <f>BDbDT_calcs!AA53</f>
        <v>52.334665819482694</v>
      </c>
      <c r="AB7" s="37">
        <f>BDbDT_calcs!AB53</f>
        <v>52.415868143616777</v>
      </c>
    </row>
    <row r="8" spans="1:28" x14ac:dyDescent="0.25">
      <c r="A8" s="4" t="s">
        <v>221</v>
      </c>
      <c r="B8" s="37">
        <f>BDbDT_calcs!B54</f>
        <v>77.684178411960474</v>
      </c>
      <c r="C8" s="37">
        <f>BDbDT_calcs!C54</f>
        <v>78.678907381052255</v>
      </c>
      <c r="D8" s="37">
        <f>BDbDT_calcs!D54</f>
        <v>78.644461492033187</v>
      </c>
      <c r="E8" s="37">
        <f>BDbDT_calcs!E54</f>
        <v>78.639089954929432</v>
      </c>
      <c r="F8" s="37">
        <f>BDbDT_calcs!F54</f>
        <v>78.703455763096272</v>
      </c>
      <c r="G8" s="37">
        <f>BDbDT_calcs!G54</f>
        <v>78.697051106778517</v>
      </c>
      <c r="H8" s="37">
        <f>BDbDT_calcs!H54</f>
        <v>78.681525875960361</v>
      </c>
      <c r="I8" s="37">
        <f>BDbDT_calcs!I54</f>
        <v>79.125377418335688</v>
      </c>
      <c r="J8" s="37">
        <f>BDbDT_calcs!J54</f>
        <v>79.543068022969052</v>
      </c>
      <c r="K8" s="37">
        <f>BDbDT_calcs!K54</f>
        <v>79.931999270936117</v>
      </c>
      <c r="L8" s="37">
        <f>BDbDT_calcs!L54</f>
        <v>80.272346139560412</v>
      </c>
      <c r="M8" s="37">
        <f>BDbDT_calcs!M54</f>
        <v>80.564137878428554</v>
      </c>
      <c r="N8" s="37">
        <f>BDbDT_calcs!N54</f>
        <v>80.807287368835148</v>
      </c>
      <c r="O8" s="37">
        <f>BDbDT_calcs!O54</f>
        <v>81.001667989674729</v>
      </c>
      <c r="P8" s="37">
        <f>BDbDT_calcs!P54</f>
        <v>81.086267587532433</v>
      </c>
      <c r="Q8" s="37">
        <f>BDbDT_calcs!Q54</f>
        <v>81.12101277726174</v>
      </c>
      <c r="R8" s="37">
        <f>BDbDT_calcs!R54</f>
        <v>81.044173243289947</v>
      </c>
      <c r="S8" s="37">
        <f>BDbDT_calcs!S54</f>
        <v>80.898859084585951</v>
      </c>
      <c r="T8" s="37">
        <f>BDbDT_calcs!T54</f>
        <v>80.68182664429051</v>
      </c>
      <c r="U8" s="37">
        <f>BDbDT_calcs!U54</f>
        <v>80.391805904007398</v>
      </c>
      <c r="V8" s="37">
        <f>BDbDT_calcs!V54</f>
        <v>80.109343612726832</v>
      </c>
      <c r="W8" s="37">
        <f>BDbDT_calcs!W54</f>
        <v>79.730342856413742</v>
      </c>
      <c r="X8" s="37">
        <f>BDbDT_calcs!X54</f>
        <v>79.459216487923683</v>
      </c>
      <c r="Y8" s="37">
        <f>BDbDT_calcs!Y54</f>
        <v>79.171820002593833</v>
      </c>
      <c r="Z8" s="37">
        <f>BDbDT_calcs!Z54</f>
        <v>78.887627591794711</v>
      </c>
      <c r="AA8" s="37">
        <f>BDbDT_calcs!AA54</f>
        <v>78.626329658559413</v>
      </c>
      <c r="AB8" s="37">
        <f>BDbDT_calcs!AB54</f>
        <v>78.407879288790937</v>
      </c>
    </row>
    <row r="9" spans="1:28" x14ac:dyDescent="0.25">
      <c r="A9" s="4" t="s">
        <v>222</v>
      </c>
      <c r="B9" s="37">
        <f>BDbDT_calcs!B55</f>
        <v>469.43328551373639</v>
      </c>
      <c r="C9" s="37">
        <f>BDbDT_calcs!C55</f>
        <v>468.83649864152</v>
      </c>
      <c r="D9" s="37">
        <f>BDbDT_calcs!D55</f>
        <v>461.73434163920643</v>
      </c>
      <c r="E9" s="37">
        <f>BDbDT_calcs!E55</f>
        <v>454.68163241038047</v>
      </c>
      <c r="F9" s="37">
        <f>BDbDT_calcs!F55</f>
        <v>447.50206657205638</v>
      </c>
      <c r="G9" s="37">
        <f>BDbDT_calcs!G55</f>
        <v>440.51732247781979</v>
      </c>
      <c r="H9" s="37">
        <f>BDbDT_calcs!H55</f>
        <v>433.58576516026784</v>
      </c>
      <c r="I9" s="37">
        <f>BDbDT_calcs!I55</f>
        <v>429.2801717775597</v>
      </c>
      <c r="J9" s="37">
        <f>BDbDT_calcs!J55</f>
        <v>424.95613975657091</v>
      </c>
      <c r="K9" s="37">
        <f>BDbDT_calcs!K55</f>
        <v>420.56203005011224</v>
      </c>
      <c r="L9" s="37">
        <f>BDbDT_calcs!L55</f>
        <v>416.16834748338704</v>
      </c>
      <c r="M9" s="37">
        <f>BDbDT_calcs!M55</f>
        <v>411.73872531248753</v>
      </c>
      <c r="N9" s="37">
        <f>BDbDT_calcs!N55</f>
        <v>407.34331082244847</v>
      </c>
      <c r="O9" s="37">
        <f>BDbDT_calcs!O55</f>
        <v>402.83774887370151</v>
      </c>
      <c r="P9" s="37">
        <f>BDbDT_calcs!P55</f>
        <v>398.32729358830198</v>
      </c>
      <c r="Q9" s="37">
        <f>BDbDT_calcs!Q55</f>
        <v>393.80929045558582</v>
      </c>
      <c r="R9" s="37">
        <f>BDbDT_calcs!R55</f>
        <v>389.31675360024093</v>
      </c>
      <c r="S9" s="37">
        <f>BDbDT_calcs!S55</f>
        <v>384.36682833999538</v>
      </c>
      <c r="T9" s="37">
        <f>BDbDT_calcs!T55</f>
        <v>379.51973410794767</v>
      </c>
      <c r="U9" s="37">
        <f>BDbDT_calcs!U55</f>
        <v>374.84356008465733</v>
      </c>
      <c r="V9" s="37">
        <f>BDbDT_calcs!V55</f>
        <v>370.26021164821128</v>
      </c>
      <c r="W9" s="37">
        <f>BDbDT_calcs!W55</f>
        <v>365.94640130716442</v>
      </c>
      <c r="X9" s="37">
        <f>BDbDT_calcs!X55</f>
        <v>361.71442236205826</v>
      </c>
      <c r="Y9" s="37">
        <f>BDbDT_calcs!Y55</f>
        <v>357.67069451923396</v>
      </c>
      <c r="Z9" s="37">
        <f>BDbDT_calcs!Z55</f>
        <v>353.77412405326339</v>
      </c>
      <c r="AA9" s="37">
        <f>BDbDT_calcs!AA55</f>
        <v>349.98341096598369</v>
      </c>
      <c r="AB9" s="37">
        <f>BDbDT_calcs!AB55</f>
        <v>346.3312437589301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48281.089133046939</v>
      </c>
      <c r="C2" s="37">
        <f>BDbDT_calcs!C58</f>
        <v>49583.477071952941</v>
      </c>
      <c r="D2" s="37">
        <f>BDbDT_calcs!D58</f>
        <v>50206.743597120345</v>
      </c>
      <c r="E2" s="37">
        <f>BDbDT_calcs!E58</f>
        <v>50825.67070399881</v>
      </c>
      <c r="F2" s="37">
        <f>BDbDT_calcs!F58</f>
        <v>51444.679060636205</v>
      </c>
      <c r="G2" s="37">
        <f>BDbDT_calcs!G58</f>
        <v>52065.310406589393</v>
      </c>
      <c r="H2" s="37">
        <f>BDbDT_calcs!H58</f>
        <v>52684.029982510008</v>
      </c>
      <c r="I2" s="37">
        <f>BDbDT_calcs!I58</f>
        <v>53614.489104867964</v>
      </c>
      <c r="J2" s="37">
        <f>BDbDT_calcs!J58</f>
        <v>54540.384189214827</v>
      </c>
      <c r="K2" s="37">
        <f>BDbDT_calcs!K58</f>
        <v>55460.72957695488</v>
      </c>
      <c r="L2" s="37">
        <f>BDbDT_calcs!L58</f>
        <v>56370.78011420682</v>
      </c>
      <c r="M2" s="37">
        <f>BDbDT_calcs!M58</f>
        <v>57269.5087765106</v>
      </c>
      <c r="N2" s="37">
        <f>BDbDT_calcs!N58</f>
        <v>58150.954596443073</v>
      </c>
      <c r="O2" s="37">
        <f>BDbDT_calcs!O58</f>
        <v>59012.77652121272</v>
      </c>
      <c r="P2" s="37">
        <f>BDbDT_calcs!P58</f>
        <v>59847.209598840978</v>
      </c>
      <c r="Q2" s="37">
        <f>BDbDT_calcs!Q58</f>
        <v>60652.789330440894</v>
      </c>
      <c r="R2" s="37">
        <f>BDbDT_calcs!R58</f>
        <v>61420.017771085033</v>
      </c>
      <c r="S2" s="37">
        <f>BDbDT_calcs!S58</f>
        <v>62089.166865887128</v>
      </c>
      <c r="T2" s="37">
        <f>BDbDT_calcs!T58</f>
        <v>62715.768958581211</v>
      </c>
      <c r="U2" s="37">
        <f>BDbDT_calcs!U58</f>
        <v>63302.76758733816</v>
      </c>
      <c r="V2" s="37">
        <f>BDbDT_calcs!V58</f>
        <v>63834.469766933515</v>
      </c>
      <c r="W2" s="37">
        <f>BDbDT_calcs!W58</f>
        <v>64314.033935422784</v>
      </c>
      <c r="X2" s="37">
        <f>BDbDT_calcs!X58</f>
        <v>64737.303574460908</v>
      </c>
      <c r="Y2" s="37">
        <f>BDbDT_calcs!Y58</f>
        <v>65130.415226395271</v>
      </c>
      <c r="Z2" s="37">
        <f>BDbDT_calcs!Z58</f>
        <v>65469.08428660666</v>
      </c>
      <c r="AA2" s="37">
        <f>BDbDT_calcs!AA58</f>
        <v>65756.676766150224</v>
      </c>
      <c r="AB2" s="37">
        <f>BDbDT_calcs!AB58</f>
        <v>65998.521506976787</v>
      </c>
    </row>
    <row r="3" spans="1:28" x14ac:dyDescent="0.25">
      <c r="A3" s="4" t="s">
        <v>216</v>
      </c>
      <c r="B3" s="37">
        <f>BDbDT_calcs!B59</f>
        <v>46740.463285117439</v>
      </c>
      <c r="C3" s="37">
        <f>BDbDT_calcs!C59</f>
        <v>47876.965243269791</v>
      </c>
      <c r="D3" s="37">
        <f>BDbDT_calcs!D59</f>
        <v>48360.738942084376</v>
      </c>
      <c r="E3" s="37">
        <f>BDbDT_calcs!E59</f>
        <v>48866.221801327774</v>
      </c>
      <c r="F3" s="37">
        <f>BDbDT_calcs!F59</f>
        <v>49406.937118656664</v>
      </c>
      <c r="G3" s="37">
        <f>BDbDT_calcs!G59</f>
        <v>49985.098082776894</v>
      </c>
      <c r="H3" s="37">
        <f>BDbDT_calcs!H59</f>
        <v>50604.901005600354</v>
      </c>
      <c r="I3" s="37">
        <f>BDbDT_calcs!I59</f>
        <v>51565.726131183634</v>
      </c>
      <c r="J3" s="37">
        <f>BDbDT_calcs!J59</f>
        <v>52568.99818217232</v>
      </c>
      <c r="K3" s="37">
        <f>BDbDT_calcs!K59</f>
        <v>53601.585889831025</v>
      </c>
      <c r="L3" s="37">
        <f>BDbDT_calcs!L59</f>
        <v>54662.619396476846</v>
      </c>
      <c r="M3" s="37">
        <f>BDbDT_calcs!M59</f>
        <v>55748.995611689366</v>
      </c>
      <c r="N3" s="37">
        <f>BDbDT_calcs!N59</f>
        <v>56848.991932930221</v>
      </c>
      <c r="O3" s="37">
        <f>BDbDT_calcs!O59</f>
        <v>57951.329956829548</v>
      </c>
      <c r="P3" s="37">
        <f>BDbDT_calcs!P59</f>
        <v>59053.496772854262</v>
      </c>
      <c r="Q3" s="37">
        <f>BDbDT_calcs!Q59</f>
        <v>60139.177904582779</v>
      </c>
      <c r="R3" s="37">
        <f>BDbDT_calcs!R59</f>
        <v>61203.633699621372</v>
      </c>
      <c r="S3" s="37">
        <f>BDbDT_calcs!S59</f>
        <v>62175.51599849062</v>
      </c>
      <c r="T3" s="37">
        <f>BDbDT_calcs!T59</f>
        <v>63108.73339728111</v>
      </c>
      <c r="U3" s="37">
        <f>BDbDT_calcs!U59</f>
        <v>63997.089985590661</v>
      </c>
      <c r="V3" s="37">
        <f>BDbDT_calcs!V59</f>
        <v>64825.624116389241</v>
      </c>
      <c r="W3" s="37">
        <f>BDbDT_calcs!W59</f>
        <v>65580.641291298176</v>
      </c>
      <c r="X3" s="37">
        <f>BDbDT_calcs!X59</f>
        <v>66264.86953049661</v>
      </c>
      <c r="Y3" s="37">
        <f>BDbDT_calcs!Y59</f>
        <v>66908.50879749241</v>
      </c>
      <c r="Z3" s="37">
        <f>BDbDT_calcs!Z59</f>
        <v>67482.174289298287</v>
      </c>
      <c r="AA3" s="37">
        <f>BDbDT_calcs!AA59</f>
        <v>67974.616862841242</v>
      </c>
      <c r="AB3" s="37">
        <f>BDbDT_calcs!AB59</f>
        <v>68386.056860024546</v>
      </c>
    </row>
    <row r="4" spans="1:28" x14ac:dyDescent="0.25">
      <c r="A4" s="4" t="s">
        <v>217</v>
      </c>
      <c r="B4" s="37">
        <f>BDbDT_calcs!B60</f>
        <v>71213.925342405768</v>
      </c>
      <c r="C4" s="37">
        <f>BDbDT_calcs!C60</f>
        <v>73028.39946931634</v>
      </c>
      <c r="D4" s="37">
        <f>BDbDT_calcs!D60</f>
        <v>73838.830196242285</v>
      </c>
      <c r="E4" s="37">
        <f>BDbDT_calcs!E60</f>
        <v>74655.203832116153</v>
      </c>
      <c r="F4" s="37">
        <f>BDbDT_calcs!F60</f>
        <v>75492.747353485378</v>
      </c>
      <c r="G4" s="37">
        <f>BDbDT_calcs!G60</f>
        <v>76351.609427100964</v>
      </c>
      <c r="H4" s="37">
        <f>BDbDT_calcs!H60</f>
        <v>77234.428507177334</v>
      </c>
      <c r="I4" s="37">
        <f>BDbDT_calcs!I60</f>
        <v>78597.804110519137</v>
      </c>
      <c r="J4" s="37">
        <f>BDbDT_calcs!J60</f>
        <v>79982.643129320466</v>
      </c>
      <c r="K4" s="37">
        <f>BDbDT_calcs!K60</f>
        <v>81374.973915847775</v>
      </c>
      <c r="L4" s="37">
        <f>BDbDT_calcs!L60</f>
        <v>82770.579958876217</v>
      </c>
      <c r="M4" s="37">
        <f>BDbDT_calcs!M60</f>
        <v>84166.316277342208</v>
      </c>
      <c r="N4" s="37">
        <f>BDbDT_calcs!N60</f>
        <v>85546.924911071677</v>
      </c>
      <c r="O4" s="37">
        <f>BDbDT_calcs!O60</f>
        <v>86903.801404987011</v>
      </c>
      <c r="P4" s="37">
        <f>BDbDT_calcs!P60</f>
        <v>88225.546810306696</v>
      </c>
      <c r="Q4" s="37">
        <f>BDbDT_calcs!Q60</f>
        <v>89499.975023716688</v>
      </c>
      <c r="R4" s="37">
        <f>BDbDT_calcs!R60</f>
        <v>90715.19391145288</v>
      </c>
      <c r="S4" s="37">
        <f>BDbDT_calcs!S60</f>
        <v>91774.261757413944</v>
      </c>
      <c r="T4" s="37">
        <f>BDbDT_calcs!T60</f>
        <v>92758.591889085772</v>
      </c>
      <c r="U4" s="37">
        <f>BDbDT_calcs!U60</f>
        <v>93667.250175285386</v>
      </c>
      <c r="V4" s="37">
        <f>BDbDT_calcs!V60</f>
        <v>94474.363553072559</v>
      </c>
      <c r="W4" s="37">
        <f>BDbDT_calcs!W60</f>
        <v>95171.674912847826</v>
      </c>
      <c r="X4" s="37">
        <f>BDbDT_calcs!X60</f>
        <v>95759.975476893916</v>
      </c>
      <c r="Y4" s="37">
        <f>BDbDT_calcs!Y60</f>
        <v>96287.056671972139</v>
      </c>
      <c r="Z4" s="37">
        <f>BDbDT_calcs!Z60</f>
        <v>96708.867717698551</v>
      </c>
      <c r="AA4" s="37">
        <f>BDbDT_calcs!AA60</f>
        <v>97018.158085059506</v>
      </c>
      <c r="AB4" s="37">
        <f>BDbDT_calcs!AB60</f>
        <v>97221.900576025742</v>
      </c>
    </row>
    <row r="5" spans="1:28" x14ac:dyDescent="0.25">
      <c r="A5" s="4" t="s">
        <v>218</v>
      </c>
      <c r="B5" s="37">
        <f>BDbDT_calcs!B61</f>
        <v>19090.207734517662</v>
      </c>
      <c r="C5" s="37">
        <f>BDbDT_calcs!C61</f>
        <v>19544.916942858144</v>
      </c>
      <c r="D5" s="37">
        <f>BDbDT_calcs!D61</f>
        <v>19733.968337454524</v>
      </c>
      <c r="E5" s="37">
        <f>BDbDT_calcs!E61</f>
        <v>19924.060846695698</v>
      </c>
      <c r="F5" s="37">
        <f>BDbDT_calcs!F61</f>
        <v>20121.712278549719</v>
      </c>
      <c r="G5" s="37">
        <f>BDbDT_calcs!G61</f>
        <v>20327.431258427649</v>
      </c>
      <c r="H5" s="37">
        <f>BDbDT_calcs!H61</f>
        <v>20540.696594672252</v>
      </c>
      <c r="I5" s="37">
        <f>BDbDT_calcs!I61</f>
        <v>20885.747513220311</v>
      </c>
      <c r="J5" s="37">
        <f>BDbDT_calcs!J61</f>
        <v>21240.884361027744</v>
      </c>
      <c r="K5" s="37">
        <f>BDbDT_calcs!K61</f>
        <v>21604.876663088566</v>
      </c>
      <c r="L5" s="37">
        <f>BDbDT_calcs!L61</f>
        <v>21977.872566391106</v>
      </c>
      <c r="M5" s="37">
        <f>BDbDT_calcs!M61</f>
        <v>22358.861959048401</v>
      </c>
      <c r="N5" s="37">
        <f>BDbDT_calcs!N61</f>
        <v>22749.021389043191</v>
      </c>
      <c r="O5" s="37">
        <f>BDbDT_calcs!O61</f>
        <v>23142.69478621531</v>
      </c>
      <c r="P5" s="37">
        <f>BDbDT_calcs!P61</f>
        <v>23542.495308071611</v>
      </c>
      <c r="Q5" s="37">
        <f>BDbDT_calcs!Q61</f>
        <v>23943.705071671277</v>
      </c>
      <c r="R5" s="37">
        <f>BDbDT_calcs!R61</f>
        <v>24345.775121137649</v>
      </c>
      <c r="S5" s="37">
        <f>BDbDT_calcs!S61</f>
        <v>24724.952812019259</v>
      </c>
      <c r="T5" s="37">
        <f>BDbDT_calcs!T61</f>
        <v>25099.763797683539</v>
      </c>
      <c r="U5" s="37">
        <f>BDbDT_calcs!U61</f>
        <v>25470.525823514672</v>
      </c>
      <c r="V5" s="37">
        <f>BDbDT_calcs!V61</f>
        <v>25834.186498283791</v>
      </c>
      <c r="W5" s="37">
        <f>BDbDT_calcs!W61</f>
        <v>26185.826612864705</v>
      </c>
      <c r="X5" s="37">
        <f>BDbDT_calcs!X61</f>
        <v>26523.512929267046</v>
      </c>
      <c r="Y5" s="37">
        <f>BDbDT_calcs!Y61</f>
        <v>26853.774039639738</v>
      </c>
      <c r="Z5" s="37">
        <f>BDbDT_calcs!Z61</f>
        <v>27169.048824616595</v>
      </c>
      <c r="AA5" s="37">
        <f>BDbDT_calcs!AA61</f>
        <v>27468.891215785679</v>
      </c>
      <c r="AB5" s="37">
        <f>BDbDT_calcs!AB61</f>
        <v>27750.224345729461</v>
      </c>
    </row>
    <row r="6" spans="1:28" x14ac:dyDescent="0.25">
      <c r="A6" s="4" t="s">
        <v>219</v>
      </c>
      <c r="B6" s="37">
        <f>BDbDT_calcs!B62</f>
        <v>2479.4602347679102</v>
      </c>
      <c r="C6" s="37">
        <f>BDbDT_calcs!C62</f>
        <v>2559.6724821578277</v>
      </c>
      <c r="D6" s="37">
        <f>BDbDT_calcs!D62</f>
        <v>2607.0247790921544</v>
      </c>
      <c r="E6" s="37">
        <f>BDbDT_calcs!E62</f>
        <v>2657.9857494735193</v>
      </c>
      <c r="F6" s="37">
        <f>BDbDT_calcs!F62</f>
        <v>2713.2977253329068</v>
      </c>
      <c r="G6" s="37">
        <f>BDbDT_calcs!G62</f>
        <v>2772.8752228022095</v>
      </c>
      <c r="H6" s="37">
        <f>BDbDT_calcs!H62</f>
        <v>2836.8748635630513</v>
      </c>
      <c r="I6" s="37">
        <f>BDbDT_calcs!I62</f>
        <v>2922.5633525228918</v>
      </c>
      <c r="J6" s="37">
        <f>BDbDT_calcs!J62</f>
        <v>3012.0278477995707</v>
      </c>
      <c r="K6" s="37">
        <f>BDbDT_calcs!K62</f>
        <v>3104.7031665627715</v>
      </c>
      <c r="L6" s="37">
        <f>BDbDT_calcs!L62</f>
        <v>3201.4184083535561</v>
      </c>
      <c r="M6" s="37">
        <f>BDbDT_calcs!M62</f>
        <v>3301.5952799398324</v>
      </c>
      <c r="N6" s="37">
        <f>BDbDT_calcs!N62</f>
        <v>3404.8535467174138</v>
      </c>
      <c r="O6" s="37">
        <f>BDbDT_calcs!O62</f>
        <v>3510.6296469181693</v>
      </c>
      <c r="P6" s="37">
        <f>BDbDT_calcs!P62</f>
        <v>3618.6376550842551</v>
      </c>
      <c r="Q6" s="37">
        <f>BDbDT_calcs!Q62</f>
        <v>3728.2151050480866</v>
      </c>
      <c r="R6" s="37">
        <f>BDbDT_calcs!R62</f>
        <v>3839.0363923362897</v>
      </c>
      <c r="S6" s="37">
        <f>BDbDT_calcs!S62</f>
        <v>3946.6509953425671</v>
      </c>
      <c r="T6" s="37">
        <f>BDbDT_calcs!T62</f>
        <v>4054.7535478397158</v>
      </c>
      <c r="U6" s="37">
        <f>BDbDT_calcs!U62</f>
        <v>4162.4659428772256</v>
      </c>
      <c r="V6" s="37">
        <f>BDbDT_calcs!V62</f>
        <v>4269.9168277304625</v>
      </c>
      <c r="W6" s="37">
        <f>BDbDT_calcs!W62</f>
        <v>4376.8091429683955</v>
      </c>
      <c r="X6" s="37">
        <f>BDbDT_calcs!X62</f>
        <v>4483.4994165500193</v>
      </c>
      <c r="Y6" s="37">
        <f>BDbDT_calcs!Y62</f>
        <v>4589.6778973997471</v>
      </c>
      <c r="Z6" s="37">
        <f>BDbDT_calcs!Z62</f>
        <v>4695.4665271003678</v>
      </c>
      <c r="AA6" s="37">
        <f>BDbDT_calcs!AA62</f>
        <v>4800.7936488255027</v>
      </c>
      <c r="AB6" s="37">
        <f>BDbDT_calcs!AB62</f>
        <v>4905.2885724300622</v>
      </c>
    </row>
    <row r="7" spans="1:28" x14ac:dyDescent="0.25">
      <c r="A7" s="4" t="s">
        <v>220</v>
      </c>
      <c r="B7" s="37">
        <f>BDbDT_calcs!B63</f>
        <v>2109.7129792197202</v>
      </c>
      <c r="C7" s="37">
        <f>BDbDT_calcs!C63</f>
        <v>2174.9142087621503</v>
      </c>
      <c r="D7" s="37">
        <f>BDbDT_calcs!D63</f>
        <v>2212.5096702186952</v>
      </c>
      <c r="E7" s="37">
        <f>BDbDT_calcs!E63</f>
        <v>2254.0291828844111</v>
      </c>
      <c r="F7" s="37">
        <f>BDbDT_calcs!F63</f>
        <v>2295.7272119139593</v>
      </c>
      <c r="G7" s="37">
        <f>BDbDT_calcs!G63</f>
        <v>2340.8731835361177</v>
      </c>
      <c r="H7" s="37">
        <f>BDbDT_calcs!H63</f>
        <v>2387.3226882314607</v>
      </c>
      <c r="I7" s="37">
        <f>BDbDT_calcs!I63</f>
        <v>2449.0800018676809</v>
      </c>
      <c r="J7" s="37">
        <f>BDbDT_calcs!J63</f>
        <v>2512.3897468292289</v>
      </c>
      <c r="K7" s="37">
        <f>BDbDT_calcs!K63</f>
        <v>2579.9805837143131</v>
      </c>
      <c r="L7" s="37">
        <f>BDbDT_calcs!L63</f>
        <v>2649.4090426692442</v>
      </c>
      <c r="M7" s="37">
        <f>BDbDT_calcs!M63</f>
        <v>2721.5021502512222</v>
      </c>
      <c r="N7" s="37">
        <f>BDbDT_calcs!N63</f>
        <v>2795.0842669525427</v>
      </c>
      <c r="O7" s="37">
        <f>BDbDT_calcs!O63</f>
        <v>2870.387143672921</v>
      </c>
      <c r="P7" s="37">
        <f>BDbDT_calcs!P63</f>
        <v>2948.1789552464547</v>
      </c>
      <c r="Q7" s="37">
        <f>BDbDT_calcs!Q63</f>
        <v>3028.0921674118058</v>
      </c>
      <c r="R7" s="37">
        <f>BDbDT_calcs!R63</f>
        <v>3109.5622327070305</v>
      </c>
      <c r="S7" s="37">
        <f>BDbDT_calcs!S63</f>
        <v>3188.5881193552354</v>
      </c>
      <c r="T7" s="37">
        <f>BDbDT_calcs!T63</f>
        <v>3268.9950214296609</v>
      </c>
      <c r="U7" s="37">
        <f>BDbDT_calcs!U63</f>
        <v>3349.9311547599095</v>
      </c>
      <c r="V7" s="37">
        <f>BDbDT_calcs!V63</f>
        <v>3430.4271786535878</v>
      </c>
      <c r="W7" s="37">
        <f>BDbDT_calcs!W63</f>
        <v>3512.5747195407348</v>
      </c>
      <c r="X7" s="37">
        <f>BDbDT_calcs!X63</f>
        <v>3594.6852525031218</v>
      </c>
      <c r="Y7" s="37">
        <f>BDbDT_calcs!Y63</f>
        <v>3677.7762335806487</v>
      </c>
      <c r="Z7" s="37">
        <f>BDbDT_calcs!Z63</f>
        <v>3760.4316743869394</v>
      </c>
      <c r="AA7" s="37">
        <f>BDbDT_calcs!AA63</f>
        <v>3843.1932661637961</v>
      </c>
      <c r="AB7" s="37">
        <f>BDbDT_calcs!AB63</f>
        <v>3926.6378641582892</v>
      </c>
    </row>
    <row r="8" spans="1:28" x14ac:dyDescent="0.25">
      <c r="A8" s="4" t="s">
        <v>221</v>
      </c>
      <c r="B8" s="37">
        <f>BDbDT_calcs!B64</f>
        <v>5058.0672166225449</v>
      </c>
      <c r="C8" s="37">
        <f>BDbDT_calcs!C64</f>
        <v>5281.4823000054084</v>
      </c>
      <c r="D8" s="37">
        <f>BDbDT_calcs!D64</f>
        <v>5437.0620129887011</v>
      </c>
      <c r="E8" s="37">
        <f>BDbDT_calcs!E64</f>
        <v>5595.8962485801794</v>
      </c>
      <c r="F8" s="37">
        <f>BDbDT_calcs!F64</f>
        <v>5758.0340583941052</v>
      </c>
      <c r="G8" s="37">
        <f>BDbDT_calcs!G64</f>
        <v>5924.1635747244063</v>
      </c>
      <c r="H8" s="37">
        <f>BDbDT_calcs!H64</f>
        <v>6096.1952373259592</v>
      </c>
      <c r="I8" s="37">
        <f>BDbDT_calcs!I64</f>
        <v>6311.440616518561</v>
      </c>
      <c r="J8" s="37">
        <f>BDbDT_calcs!J64</f>
        <v>6533.2012584472068</v>
      </c>
      <c r="K8" s="37">
        <f>BDbDT_calcs!K64</f>
        <v>6763.0518631823761</v>
      </c>
      <c r="L8" s="37">
        <f>BDbDT_calcs!L64</f>
        <v>7002.2277592774253</v>
      </c>
      <c r="M8" s="37">
        <f>BDbDT_calcs!M64</f>
        <v>7249.1040399358371</v>
      </c>
      <c r="N8" s="37">
        <f>BDbDT_calcs!N64</f>
        <v>7505.6492011210103</v>
      </c>
      <c r="O8" s="37">
        <f>BDbDT_calcs!O64</f>
        <v>7770.7075091186689</v>
      </c>
      <c r="P8" s="37">
        <f>BDbDT_calcs!P64</f>
        <v>8044.020946051166</v>
      </c>
      <c r="Q8" s="37">
        <f>BDbDT_calcs!Q64</f>
        <v>8326.0285131232667</v>
      </c>
      <c r="R8" s="37">
        <f>BDbDT_calcs!R64</f>
        <v>8615.1320126370629</v>
      </c>
      <c r="S8" s="37">
        <f>BDbDT_calcs!S64</f>
        <v>8902.790934237446</v>
      </c>
      <c r="T8" s="37">
        <f>BDbDT_calcs!T64</f>
        <v>9196.9923505073402</v>
      </c>
      <c r="U8" s="37">
        <f>BDbDT_calcs!U64</f>
        <v>9497.1732659778536</v>
      </c>
      <c r="V8" s="37">
        <f>BDbDT_calcs!V64</f>
        <v>9802.1102848648079</v>
      </c>
      <c r="W8" s="37">
        <f>BDbDT_calcs!W64</f>
        <v>10110.478584231247</v>
      </c>
      <c r="X8" s="37">
        <f>BDbDT_calcs!X64</f>
        <v>10423.521935158416</v>
      </c>
      <c r="Y8" s="37">
        <f>BDbDT_calcs!Y64</f>
        <v>10739.162818140649</v>
      </c>
      <c r="Z8" s="37">
        <f>BDbDT_calcs!Z64</f>
        <v>11057.256725258534</v>
      </c>
      <c r="AA8" s="37">
        <f>BDbDT_calcs!AA64</f>
        <v>11375.309496664337</v>
      </c>
      <c r="AB8" s="37">
        <f>BDbDT_calcs!AB64</f>
        <v>11692.976635895793</v>
      </c>
    </row>
    <row r="9" spans="1:28" x14ac:dyDescent="0.25">
      <c r="A9" s="4" t="s">
        <v>222</v>
      </c>
      <c r="B9" s="37">
        <f>BDbDT_calcs!B65</f>
        <v>94955.431095144551</v>
      </c>
      <c r="C9" s="37">
        <f>BDbDT_calcs!C65</f>
        <v>97228.527007592056</v>
      </c>
      <c r="D9" s="37">
        <f>BDbDT_calcs!D65</f>
        <v>98165.189432529718</v>
      </c>
      <c r="E9" s="37">
        <f>BDbDT_calcs!E65</f>
        <v>99114.644347486275</v>
      </c>
      <c r="F9" s="37">
        <f>BDbDT_calcs!F65</f>
        <v>100096.27890233217</v>
      </c>
      <c r="G9" s="37">
        <f>BDbDT_calcs!G65</f>
        <v>101112.96667653401</v>
      </c>
      <c r="H9" s="37">
        <f>BDbDT_calcs!H65</f>
        <v>102161.91355267113</v>
      </c>
      <c r="I9" s="37">
        <f>BDbDT_calcs!I65</f>
        <v>103847.48752695709</v>
      </c>
      <c r="J9" s="37">
        <f>BDbDT_calcs!J65</f>
        <v>105562.1557188727</v>
      </c>
      <c r="K9" s="37">
        <f>BDbDT_calcs!K65</f>
        <v>107287.88288042971</v>
      </c>
      <c r="L9" s="37">
        <f>BDbDT_calcs!L65</f>
        <v>109016.27254338136</v>
      </c>
      <c r="M9" s="37">
        <f>BDbDT_calcs!M65</f>
        <v>110745.72679776559</v>
      </c>
      <c r="N9" s="37">
        <f>BDbDT_calcs!N65</f>
        <v>112453.50703982703</v>
      </c>
      <c r="O9" s="37">
        <f>BDbDT_calcs!O65</f>
        <v>114126.91717695082</v>
      </c>
      <c r="P9" s="37">
        <f>BDbDT_calcs!P65</f>
        <v>115755.09046778291</v>
      </c>
      <c r="Q9" s="37">
        <f>BDbDT_calcs!Q65</f>
        <v>117318.04733592662</v>
      </c>
      <c r="R9" s="37">
        <f>BDbDT_calcs!R65</f>
        <v>118802.97819634801</v>
      </c>
      <c r="S9" s="37">
        <f>BDbDT_calcs!S65</f>
        <v>120081.89712996071</v>
      </c>
      <c r="T9" s="37">
        <f>BDbDT_calcs!T65</f>
        <v>121260.32919669058</v>
      </c>
      <c r="U9" s="37">
        <f>BDbDT_calcs!U65</f>
        <v>122335.86613355197</v>
      </c>
      <c r="V9" s="37">
        <f>BDbDT_calcs!V65</f>
        <v>123277.14583005248</v>
      </c>
      <c r="W9" s="37">
        <f>BDbDT_calcs!W65</f>
        <v>124075.27311568397</v>
      </c>
      <c r="X9" s="37">
        <f>BDbDT_calcs!X65</f>
        <v>124726.36565326732</v>
      </c>
      <c r="Y9" s="37">
        <f>BDbDT_calcs!Y65</f>
        <v>125295.65185604921</v>
      </c>
      <c r="Z9" s="37">
        <f>BDbDT_calcs!Z65</f>
        <v>125724.78159310792</v>
      </c>
      <c r="AA9" s="37">
        <f>BDbDT_calcs!AA65</f>
        <v>126009.80028722457</v>
      </c>
      <c r="AB9" s="37">
        <f>BDbDT_calcs!AB65</f>
        <v>126157.47099128236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2026-08-17T20:29:21Z</dcterms:modified>
</cp:coreProperties>
</file>