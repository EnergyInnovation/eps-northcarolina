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C\add-outputs\HOIpTP\"/>
    </mc:Choice>
  </mc:AlternateContent>
  <xr:revisionPtr revIDLastSave="0" documentId="8_{35CB79D3-42BB-4F33-BE79-3ABD3861464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G15" i="19"/>
  <c r="F15" i="19"/>
  <c r="E15" i="19"/>
  <c r="B15" i="19"/>
  <c r="X15" i="19" s="1"/>
  <c r="V14" i="19"/>
  <c r="B14" i="19"/>
  <c r="AA14" i="19" s="1"/>
  <c r="Y13" i="19"/>
  <c r="T13" i="19"/>
  <c r="M13" i="19"/>
  <c r="B13" i="19"/>
  <c r="J13" i="19" s="1"/>
  <c r="U12" i="19"/>
  <c r="Q12" i="19"/>
  <c r="J12" i="19"/>
  <c r="F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S8" i="19"/>
  <c r="O8" i="19"/>
  <c r="K8" i="19"/>
  <c r="F8" i="19"/>
  <c r="B8" i="19"/>
  <c r="L8" i="19" s="1"/>
  <c r="U7" i="19"/>
  <c r="L7" i="19"/>
  <c r="F7" i="19"/>
  <c r="B7" i="19"/>
  <c r="AA7" i="19" s="1"/>
  <c r="W6" i="19"/>
  <c r="R6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B3" i="19"/>
  <c r="Q3" i="19" s="1"/>
  <c r="AB2" i="19"/>
  <c r="W2" i="19"/>
  <c r="S2" i="19"/>
  <c r="P2" i="19"/>
  <c r="N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AA17" i="18"/>
  <c r="V17" i="18"/>
  <c r="T17" i="18"/>
  <c r="R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W15" i="18"/>
  <c r="Q15" i="18"/>
  <c r="B15" i="18"/>
  <c r="AA14" i="18"/>
  <c r="U14" i="18"/>
  <c r="R14" i="18"/>
  <c r="H14" i="18"/>
  <c r="B14" i="18"/>
  <c r="AB14" i="18" s="1"/>
  <c r="P13" i="18"/>
  <c r="G13" i="18"/>
  <c r="B13" i="18"/>
  <c r="Q13" i="18" s="1"/>
  <c r="AB12" i="18"/>
  <c r="X12" i="18"/>
  <c r="B12" i="18"/>
  <c r="Z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R8" i="18"/>
  <c r="Q8" i="18"/>
  <c r="N8" i="18"/>
  <c r="J8" i="18"/>
  <c r="F8" i="18"/>
  <c r="D8" i="18"/>
  <c r="B8" i="18"/>
  <c r="W8" i="18" s="1"/>
  <c r="AB7" i="18"/>
  <c r="AA7" i="18"/>
  <c r="H7" i="18"/>
  <c r="D7" i="18"/>
  <c r="B7" i="18"/>
  <c r="G7" i="18" s="1"/>
  <c r="AA6" i="18"/>
  <c r="X6" i="18"/>
  <c r="P6" i="18"/>
  <c r="J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M3" i="18"/>
  <c r="H3" i="18"/>
  <c r="E3" i="18"/>
  <c r="B3" i="18"/>
  <c r="Y2" i="18"/>
  <c r="V2" i="18"/>
  <c r="U2" i="18"/>
  <c r="P2" i="18"/>
  <c r="M2" i="18"/>
  <c r="K2" i="18"/>
  <c r="J2" i="18"/>
  <c r="G2" i="18"/>
  <c r="D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X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I15" i="17"/>
  <c r="B15" i="17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W12" i="17"/>
  <c r="V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V8" i="17"/>
  <c r="T8" i="17"/>
  <c r="S8" i="17"/>
  <c r="P8" i="17"/>
  <c r="J8" i="17"/>
  <c r="F8" i="17"/>
  <c r="D8" i="17"/>
  <c r="C8" i="17"/>
  <c r="B8" i="17"/>
  <c r="AB8" i="17" s="1"/>
  <c r="Z7" i="17"/>
  <c r="Y7" i="17"/>
  <c r="X7" i="17"/>
  <c r="W7" i="17"/>
  <c r="H7" i="17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H17" i="16"/>
  <c r="D17" i="16"/>
  <c r="B17" i="16"/>
  <c r="B16" i="16"/>
  <c r="X15" i="16"/>
  <c r="B15" i="16"/>
  <c r="AA15" i="16" s="1"/>
  <c r="Y14" i="16"/>
  <c r="G14" i="16"/>
  <c r="F14" i="16"/>
  <c r="C14" i="16"/>
  <c r="B14" i="16"/>
  <c r="X13" i="16"/>
  <c r="W13" i="16"/>
  <c r="J13" i="16"/>
  <c r="D13" i="16"/>
  <c r="B13" i="16"/>
  <c r="Y12" i="16"/>
  <c r="W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B7" i="16"/>
  <c r="G7" i="16" s="1"/>
  <c r="W6" i="16"/>
  <c r="V6" i="16"/>
  <c r="T6" i="16"/>
  <c r="Q6" i="16"/>
  <c r="N6" i="16"/>
  <c r="M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X2" i="16"/>
  <c r="W2" i="16"/>
  <c r="D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S15" i="15"/>
  <c r="K15" i="15"/>
  <c r="G15" i="15"/>
  <c r="B15" i="15"/>
  <c r="O14" i="15"/>
  <c r="N14" i="15"/>
  <c r="D14" i="15"/>
  <c r="B14" i="15"/>
  <c r="AB14" i="15" s="1"/>
  <c r="AB13" i="15"/>
  <c r="AA13" i="15"/>
  <c r="W13" i="15"/>
  <c r="V13" i="15"/>
  <c r="T13" i="15"/>
  <c r="S13" i="15"/>
  <c r="R13" i="15"/>
  <c r="Q13" i="15"/>
  <c r="J13" i="15"/>
  <c r="H13" i="15"/>
  <c r="D13" i="15"/>
  <c r="B13" i="15"/>
  <c r="AA12" i="15"/>
  <c r="X12" i="15"/>
  <c r="W12" i="15"/>
  <c r="V12" i="15"/>
  <c r="T12" i="15"/>
  <c r="S12" i="15"/>
  <c r="R12" i="15"/>
  <c r="Q12" i="15"/>
  <c r="P12" i="15"/>
  <c r="O12" i="15"/>
  <c r="N12" i="15"/>
  <c r="L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M8" i="15"/>
  <c r="J8" i="15"/>
  <c r="B8" i="15"/>
  <c r="AB7" i="15"/>
  <c r="Y7" i="15"/>
  <c r="W7" i="15"/>
  <c r="V7" i="15"/>
  <c r="U7" i="15"/>
  <c r="S7" i="15"/>
  <c r="K7" i="15"/>
  <c r="F7" i="15"/>
  <c r="E7" i="15"/>
  <c r="B7" i="15"/>
  <c r="AB6" i="15"/>
  <c r="AA6" i="15"/>
  <c r="X6" i="15"/>
  <c r="V6" i="15"/>
  <c r="U6" i="15"/>
  <c r="T6" i="15"/>
  <c r="S6" i="15"/>
  <c r="R6" i="15"/>
  <c r="Q6" i="15"/>
  <c r="P6" i="15"/>
  <c r="O6" i="15"/>
  <c r="N6" i="15"/>
  <c r="M6" i="15"/>
  <c r="K6" i="15"/>
  <c r="I6" i="15"/>
  <c r="E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Y3" i="15"/>
  <c r="W3" i="15"/>
  <c r="U3" i="15"/>
  <c r="T3" i="15"/>
  <c r="Q3" i="15"/>
  <c r="N3" i="15"/>
  <c r="M3" i="15"/>
  <c r="L3" i="15"/>
  <c r="K3" i="15"/>
  <c r="J3" i="15"/>
  <c r="I3" i="15"/>
  <c r="F3" i="15"/>
  <c r="D3" i="15"/>
  <c r="C3" i="15"/>
  <c r="B3" i="15"/>
  <c r="P3" i="15" s="1"/>
  <c r="AB2" i="15"/>
  <c r="AA2" i="15"/>
  <c r="Y2" i="15"/>
  <c r="S2" i="15"/>
  <c r="R2" i="15"/>
  <c r="Q2" i="15"/>
  <c r="P2" i="15"/>
  <c r="O2" i="15"/>
  <c r="N2" i="15"/>
  <c r="M2" i="15"/>
  <c r="L2" i="15"/>
  <c r="K2" i="15"/>
  <c r="J2" i="15"/>
  <c r="H2" i="15"/>
  <c r="F2" i="15"/>
  <c r="E2" i="15"/>
  <c r="D2" i="15"/>
  <c r="B2" i="15"/>
  <c r="Z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C17" i="14"/>
  <c r="B17" i="14"/>
  <c r="M17" i="14" s="1"/>
  <c r="H16" i="14"/>
  <c r="B16" i="14"/>
  <c r="AA15" i="14"/>
  <c r="Z15" i="14"/>
  <c r="Y15" i="14"/>
  <c r="W15" i="14"/>
  <c r="V15" i="14"/>
  <c r="U15" i="14"/>
  <c r="T15" i="14"/>
  <c r="S15" i="14"/>
  <c r="Q15" i="14"/>
  <c r="O15" i="14"/>
  <c r="N15" i="14"/>
  <c r="M15" i="14"/>
  <c r="L15" i="14"/>
  <c r="K15" i="14"/>
  <c r="I15" i="14"/>
  <c r="F15" i="14"/>
  <c r="E15" i="14"/>
  <c r="D15" i="14"/>
  <c r="C15" i="14"/>
  <c r="B15" i="14"/>
  <c r="S14" i="14"/>
  <c r="R14" i="14"/>
  <c r="B14" i="14"/>
  <c r="Y14" i="14" s="1"/>
  <c r="K13" i="14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W7" i="14"/>
  <c r="S7" i="14"/>
  <c r="R7" i="14"/>
  <c r="P7" i="14"/>
  <c r="O7" i="14"/>
  <c r="N7" i="14"/>
  <c r="M7" i="14"/>
  <c r="L7" i="14"/>
  <c r="K7" i="14"/>
  <c r="I7" i="14"/>
  <c r="C7" i="14"/>
  <c r="B7" i="14"/>
  <c r="Z6" i="14"/>
  <c r="R6" i="14"/>
  <c r="Q6" i="14"/>
  <c r="P6" i="14"/>
  <c r="O6" i="14"/>
  <c r="N6" i="14"/>
  <c r="M6" i="14"/>
  <c r="L6" i="14"/>
  <c r="K6" i="14"/>
  <c r="H6" i="14"/>
  <c r="G6" i="14"/>
  <c r="F6" i="14"/>
  <c r="E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B3" i="14"/>
  <c r="V3" i="14" s="1"/>
  <c r="AB2" i="14"/>
  <c r="AA2" i="14"/>
  <c r="Z2" i="14"/>
  <c r="X2" i="14"/>
  <c r="V2" i="14"/>
  <c r="U2" i="14"/>
  <c r="R2" i="14"/>
  <c r="P2" i="14"/>
  <c r="O2" i="14"/>
  <c r="M2" i="14"/>
  <c r="L2" i="14"/>
  <c r="G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C17" i="13" s="1"/>
  <c r="U16" i="13"/>
  <c r="T16" i="13"/>
  <c r="H16" i="13"/>
  <c r="G16" i="13"/>
  <c r="B16" i="13"/>
  <c r="AA16" i="13" s="1"/>
  <c r="Z15" i="13"/>
  <c r="Y15" i="13"/>
  <c r="W15" i="13"/>
  <c r="V15" i="13"/>
  <c r="T15" i="13"/>
  <c r="S15" i="13"/>
  <c r="R15" i="13"/>
  <c r="P15" i="13"/>
  <c r="O15" i="13"/>
  <c r="N15" i="13"/>
  <c r="M15" i="13"/>
  <c r="L15" i="13"/>
  <c r="K15" i="13"/>
  <c r="J15" i="13"/>
  <c r="I15" i="13"/>
  <c r="H15" i="13"/>
  <c r="G15" i="13"/>
  <c r="E15" i="13"/>
  <c r="C15" i="13"/>
  <c r="B15" i="13"/>
  <c r="AA15" i="13" s="1"/>
  <c r="S14" i="13"/>
  <c r="L14" i="13"/>
  <c r="K14" i="13"/>
  <c r="J14" i="13"/>
  <c r="H14" i="13"/>
  <c r="F14" i="13"/>
  <c r="B14" i="13"/>
  <c r="B13" i="13"/>
  <c r="X12" i="13"/>
  <c r="W12" i="13"/>
  <c r="U12" i="13"/>
  <c r="S12" i="13"/>
  <c r="R12" i="13"/>
  <c r="O12" i="13"/>
  <c r="M12" i="13"/>
  <c r="L12" i="13"/>
  <c r="J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F7" i="13" s="1"/>
  <c r="AA6" i="13"/>
  <c r="Z6" i="13"/>
  <c r="O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L3" i="13"/>
  <c r="K3" i="13"/>
  <c r="J3" i="13"/>
  <c r="I3" i="13"/>
  <c r="F3" i="13"/>
  <c r="E3" i="13"/>
  <c r="D3" i="13"/>
  <c r="C3" i="13"/>
  <c r="B3" i="13"/>
  <c r="AA3" i="13" s="1"/>
  <c r="AB2" i="13"/>
  <c r="Y2" i="13"/>
  <c r="X2" i="13"/>
  <c r="V2" i="13"/>
  <c r="U2" i="13"/>
  <c r="R2" i="13"/>
  <c r="Q2" i="13"/>
  <c r="P2" i="13"/>
  <c r="O2" i="13"/>
  <c r="M2" i="13"/>
  <c r="L2" i="13"/>
  <c r="J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B17" i="12"/>
  <c r="G17" i="12" s="1"/>
  <c r="AB16" i="12"/>
  <c r="AA16" i="12"/>
  <c r="Z16" i="12"/>
  <c r="J16" i="12"/>
  <c r="C16" i="12"/>
  <c r="B16" i="12"/>
  <c r="B15" i="12"/>
  <c r="Z15" i="12" s="1"/>
  <c r="AB14" i="12"/>
  <c r="Y14" i="12"/>
  <c r="X14" i="12"/>
  <c r="W14" i="12"/>
  <c r="V14" i="12"/>
  <c r="R14" i="12"/>
  <c r="Q14" i="12"/>
  <c r="L14" i="12"/>
  <c r="B14" i="12"/>
  <c r="K14" i="12" s="1"/>
  <c r="B13" i="12"/>
  <c r="AA12" i="12"/>
  <c r="Z12" i="12"/>
  <c r="H12" i="12"/>
  <c r="C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U8" i="12" s="1"/>
  <c r="B7" i="12"/>
  <c r="S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L3" i="12"/>
  <c r="J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D17" i="11"/>
  <c r="C17" i="11"/>
  <c r="B17" i="11"/>
  <c r="P17" i="11" s="1"/>
  <c r="AB16" i="11"/>
  <c r="Y16" i="11"/>
  <c r="W16" i="11"/>
  <c r="V16" i="11"/>
  <c r="D16" i="11"/>
  <c r="B16" i="11"/>
  <c r="AA16" i="11" s="1"/>
  <c r="R15" i="11"/>
  <c r="B15" i="11"/>
  <c r="W15" i="11" s="1"/>
  <c r="B14" i="11"/>
  <c r="J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2" i="11"/>
  <c r="Z12" i="11"/>
  <c r="Y12" i="11"/>
  <c r="X12" i="11"/>
  <c r="U12" i="11"/>
  <c r="T12" i="11"/>
  <c r="P12" i="11"/>
  <c r="O12" i="11"/>
  <c r="M12" i="11"/>
  <c r="L12" i="11"/>
  <c r="K12" i="11"/>
  <c r="J12" i="11"/>
  <c r="G12" i="11"/>
  <c r="F12" i="11"/>
  <c r="E12" i="11"/>
  <c r="C12" i="11"/>
  <c r="B12" i="11"/>
  <c r="I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R8" i="11" s="1"/>
  <c r="AA7" i="11"/>
  <c r="Z7" i="11"/>
  <c r="X7" i="11"/>
  <c r="W7" i="11"/>
  <c r="V7" i="11"/>
  <c r="U7" i="11"/>
  <c r="N7" i="11"/>
  <c r="L7" i="11"/>
  <c r="B7" i="11"/>
  <c r="X6" i="11"/>
  <c r="U6" i="11"/>
  <c r="T6" i="11"/>
  <c r="R6" i="11"/>
  <c r="Q6" i="11"/>
  <c r="P6" i="11"/>
  <c r="I6" i="11"/>
  <c r="H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J3" i="11"/>
  <c r="H3" i="11"/>
  <c r="E3" i="11"/>
  <c r="D3" i="11"/>
  <c r="C3" i="11"/>
  <c r="B3" i="11"/>
  <c r="M3" i="11" s="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U15" i="10" s="1"/>
  <c r="AB14" i="10"/>
  <c r="B14" i="10"/>
  <c r="L14" i="10" s="1"/>
  <c r="P13" i="10"/>
  <c r="M13" i="10"/>
  <c r="D13" i="10"/>
  <c r="B13" i="10"/>
  <c r="F13" i="10" s="1"/>
  <c r="Z12" i="10"/>
  <c r="B12" i="10"/>
  <c r="C11" i="10"/>
  <c r="B11" i="10"/>
  <c r="B10" i="10"/>
  <c r="B9" i="10"/>
  <c r="AB8" i="10"/>
  <c r="Z8" i="10"/>
  <c r="N8" i="10"/>
  <c r="K8" i="10"/>
  <c r="I8" i="10"/>
  <c r="G8" i="10"/>
  <c r="B8" i="10"/>
  <c r="Q8" i="10" s="1"/>
  <c r="B7" i="10"/>
  <c r="X7" i="10" s="1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AA2" i="10"/>
  <c r="Z2" i="10"/>
  <c r="Y2" i="10"/>
  <c r="X2" i="10"/>
  <c r="U2" i="10"/>
  <c r="P2" i="10"/>
  <c r="N2" i="10"/>
  <c r="M2" i="10"/>
  <c r="L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A14" i="9"/>
  <c r="Z14" i="9"/>
  <c r="Y14" i="9"/>
  <c r="W14" i="9"/>
  <c r="V14" i="9"/>
  <c r="U14" i="9"/>
  <c r="T14" i="9"/>
  <c r="S14" i="9"/>
  <c r="R14" i="9"/>
  <c r="M14" i="9"/>
  <c r="L14" i="9"/>
  <c r="J14" i="9"/>
  <c r="G14" i="9"/>
  <c r="B14" i="9"/>
  <c r="AB14" i="9" s="1"/>
  <c r="AA13" i="9"/>
  <c r="Z13" i="9"/>
  <c r="Y13" i="9"/>
  <c r="X13" i="9"/>
  <c r="W13" i="9"/>
  <c r="S13" i="9"/>
  <c r="M13" i="9"/>
  <c r="D13" i="9"/>
  <c r="B13" i="9"/>
  <c r="Q13" i="9" s="1"/>
  <c r="AA12" i="9"/>
  <c r="Z12" i="9"/>
  <c r="W12" i="9"/>
  <c r="S12" i="9"/>
  <c r="O12" i="9"/>
  <c r="J12" i="9"/>
  <c r="H12" i="9"/>
  <c r="E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T8" i="9"/>
  <c r="R8" i="9"/>
  <c r="Q8" i="9"/>
  <c r="P8" i="9"/>
  <c r="O8" i="9"/>
  <c r="N8" i="9"/>
  <c r="M8" i="9"/>
  <c r="L8" i="9"/>
  <c r="I8" i="9"/>
  <c r="F8" i="9"/>
  <c r="C8" i="9"/>
  <c r="B8" i="9"/>
  <c r="B7" i="9"/>
  <c r="G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G15" i="8"/>
  <c r="B15" i="8"/>
  <c r="AB14" i="8"/>
  <c r="Y14" i="8"/>
  <c r="W14" i="8"/>
  <c r="V14" i="8"/>
  <c r="U14" i="8"/>
  <c r="T14" i="8"/>
  <c r="S14" i="8"/>
  <c r="R14" i="8"/>
  <c r="Q14" i="8"/>
  <c r="O14" i="8"/>
  <c r="N14" i="8"/>
  <c r="J14" i="8"/>
  <c r="I14" i="8"/>
  <c r="G14" i="8"/>
  <c r="B14" i="8"/>
  <c r="AA14" i="8" s="1"/>
  <c r="B13" i="8"/>
  <c r="X13" i="8" s="1"/>
  <c r="AB12" i="8"/>
  <c r="AA12" i="8"/>
  <c r="Z12" i="8"/>
  <c r="Y12" i="8"/>
  <c r="X12" i="8"/>
  <c r="V12" i="8"/>
  <c r="U12" i="8"/>
  <c r="T12" i="8"/>
  <c r="S12" i="8"/>
  <c r="R12" i="8"/>
  <c r="Q12" i="8"/>
  <c r="O12" i="8"/>
  <c r="N12" i="8"/>
  <c r="H12" i="8"/>
  <c r="E12" i="8"/>
  <c r="D12" i="8"/>
  <c r="C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W7" i="8"/>
  <c r="U7" i="8"/>
  <c r="T7" i="8"/>
  <c r="S7" i="8"/>
  <c r="M7" i="8"/>
  <c r="K7" i="8"/>
  <c r="G7" i="8"/>
  <c r="B7" i="8"/>
  <c r="Q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B3" i="8"/>
  <c r="S3" i="8" s="1"/>
  <c r="AA2" i="8"/>
  <c r="Z2" i="8"/>
  <c r="W2" i="8"/>
  <c r="F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U17" i="7"/>
  <c r="T17" i="7"/>
  <c r="B17" i="7"/>
  <c r="K17" i="7" s="1"/>
  <c r="N16" i="7"/>
  <c r="M16" i="7"/>
  <c r="L16" i="7"/>
  <c r="J16" i="7"/>
  <c r="H16" i="7"/>
  <c r="G16" i="7"/>
  <c r="B16" i="7"/>
  <c r="AA16" i="7" s="1"/>
  <c r="AB15" i="7"/>
  <c r="AA15" i="7"/>
  <c r="Y15" i="7"/>
  <c r="W15" i="7"/>
  <c r="V15" i="7"/>
  <c r="U15" i="7"/>
  <c r="T15" i="7"/>
  <c r="S15" i="7"/>
  <c r="Q15" i="7"/>
  <c r="P15" i="7"/>
  <c r="O15" i="7"/>
  <c r="N15" i="7"/>
  <c r="M15" i="7"/>
  <c r="L15" i="7"/>
  <c r="K15" i="7"/>
  <c r="J15" i="7"/>
  <c r="I15" i="7"/>
  <c r="H15" i="7"/>
  <c r="D15" i="7"/>
  <c r="C15" i="7"/>
  <c r="B15" i="7"/>
  <c r="AB14" i="7"/>
  <c r="AA14" i="7"/>
  <c r="Y14" i="7"/>
  <c r="X14" i="7"/>
  <c r="V14" i="7"/>
  <c r="T14" i="7"/>
  <c r="S14" i="7"/>
  <c r="R14" i="7"/>
  <c r="Q14" i="7"/>
  <c r="O14" i="7"/>
  <c r="N14" i="7"/>
  <c r="M14" i="7"/>
  <c r="L14" i="7"/>
  <c r="J14" i="7"/>
  <c r="I14" i="7"/>
  <c r="H14" i="7"/>
  <c r="F14" i="7"/>
  <c r="D14" i="7"/>
  <c r="B14" i="7"/>
  <c r="AB13" i="7"/>
  <c r="AA13" i="7"/>
  <c r="X13" i="7"/>
  <c r="W13" i="7"/>
  <c r="V13" i="7"/>
  <c r="T13" i="7"/>
  <c r="S13" i="7"/>
  <c r="Q13" i="7"/>
  <c r="B13" i="7"/>
  <c r="I13" i="7" s="1"/>
  <c r="AB12" i="7"/>
  <c r="V12" i="7"/>
  <c r="T12" i="7"/>
  <c r="S12" i="7"/>
  <c r="R12" i="7"/>
  <c r="P12" i="7"/>
  <c r="O12" i="7"/>
  <c r="M12" i="7"/>
  <c r="L12" i="7"/>
  <c r="K12" i="7"/>
  <c r="J12" i="7"/>
  <c r="H12" i="7"/>
  <c r="B12" i="7"/>
  <c r="E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B8" i="7"/>
  <c r="K8" i="7" s="1"/>
  <c r="B7" i="7"/>
  <c r="AB7" i="7" s="1"/>
  <c r="AB6" i="7"/>
  <c r="Z6" i="7"/>
  <c r="X6" i="7"/>
  <c r="W6" i="7"/>
  <c r="U6" i="7"/>
  <c r="P6" i="7"/>
  <c r="N6" i="7"/>
  <c r="I6" i="7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J3" i="7" s="1"/>
  <c r="Z2" i="7"/>
  <c r="S2" i="7"/>
  <c r="R2" i="7"/>
  <c r="Q2" i="7"/>
  <c r="M2" i="7"/>
  <c r="K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X17" i="6"/>
  <c r="W17" i="6"/>
  <c r="V17" i="6"/>
  <c r="U17" i="6"/>
  <c r="T17" i="6"/>
  <c r="S17" i="6"/>
  <c r="R17" i="6"/>
  <c r="Q17" i="6"/>
  <c r="K17" i="6"/>
  <c r="J17" i="6"/>
  <c r="H17" i="6"/>
  <c r="G17" i="6"/>
  <c r="F17" i="6"/>
  <c r="B17" i="6"/>
  <c r="Z17" i="6" s="1"/>
  <c r="E16" i="6"/>
  <c r="D16" i="6"/>
  <c r="C16" i="6"/>
  <c r="B16" i="6"/>
  <c r="AA15" i="6"/>
  <c r="Z15" i="6"/>
  <c r="W15" i="6"/>
  <c r="V15" i="6"/>
  <c r="Q15" i="6"/>
  <c r="P15" i="6"/>
  <c r="O15" i="6"/>
  <c r="N15" i="6"/>
  <c r="M15" i="6"/>
  <c r="L15" i="6"/>
  <c r="K15" i="6"/>
  <c r="J15" i="6"/>
  <c r="B15" i="6"/>
  <c r="AB15" i="6" s="1"/>
  <c r="AA14" i="6"/>
  <c r="Y14" i="6"/>
  <c r="R14" i="6"/>
  <c r="Q14" i="6"/>
  <c r="P14" i="6"/>
  <c r="O14" i="6"/>
  <c r="N14" i="6"/>
  <c r="M14" i="6"/>
  <c r="L14" i="6"/>
  <c r="K14" i="6"/>
  <c r="J14" i="6"/>
  <c r="I14" i="6"/>
  <c r="H14" i="6"/>
  <c r="B14" i="6"/>
  <c r="AB14" i="6" s="1"/>
  <c r="B13" i="6"/>
  <c r="M13" i="6" s="1"/>
  <c r="AB12" i="6"/>
  <c r="Y12" i="6"/>
  <c r="W12" i="6"/>
  <c r="V12" i="6"/>
  <c r="U12" i="6"/>
  <c r="T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T17" i="5"/>
  <c r="S17" i="5"/>
  <c r="R17" i="5"/>
  <c r="Q17" i="5"/>
  <c r="P17" i="5"/>
  <c r="L17" i="5"/>
  <c r="K17" i="5"/>
  <c r="J17" i="5"/>
  <c r="B17" i="5"/>
  <c r="O17" i="5" s="1"/>
  <c r="B16" i="5"/>
  <c r="AA15" i="5"/>
  <c r="Z15" i="5"/>
  <c r="Y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E15" i="5"/>
  <c r="D15" i="5"/>
  <c r="C15" i="5"/>
  <c r="B15" i="5"/>
  <c r="AA14" i="5"/>
  <c r="Z14" i="5"/>
  <c r="Y14" i="5"/>
  <c r="W14" i="5"/>
  <c r="V14" i="5"/>
  <c r="O14" i="5"/>
  <c r="B14" i="5"/>
  <c r="D14" i="5" s="1"/>
  <c r="B13" i="5"/>
  <c r="K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B6" i="5"/>
  <c r="Z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B2" i="1"/>
  <c r="F6" i="12" l="1"/>
  <c r="F8" i="7"/>
  <c r="F15" i="10"/>
  <c r="AA7" i="7"/>
  <c r="Q17" i="7"/>
  <c r="AB12" i="10"/>
  <c r="AA12" i="10"/>
  <c r="V14" i="10"/>
  <c r="AB13" i="5"/>
  <c r="I13" i="5"/>
  <c r="H13" i="5"/>
  <c r="G13" i="5"/>
  <c r="C8" i="6"/>
  <c r="D8" i="7"/>
  <c r="E15" i="12"/>
  <c r="G12" i="10"/>
  <c r="AA14" i="10"/>
  <c r="C13" i="8"/>
  <c r="G7" i="7"/>
  <c r="L7" i="7"/>
  <c r="S7" i="7"/>
  <c r="R7" i="7"/>
  <c r="Q7" i="7"/>
  <c r="W13" i="13"/>
  <c r="Z13" i="13"/>
  <c r="P13" i="13"/>
  <c r="U13" i="13"/>
  <c r="T13" i="13"/>
  <c r="S13" i="13"/>
  <c r="R13" i="13"/>
  <c r="Q13" i="13"/>
  <c r="O13" i="13"/>
  <c r="N13" i="13"/>
  <c r="K13" i="13"/>
  <c r="H13" i="13"/>
  <c r="E17" i="13"/>
  <c r="J7" i="9"/>
  <c r="Y3" i="9"/>
  <c r="O2" i="8"/>
  <c r="D2" i="8"/>
  <c r="U2" i="8"/>
  <c r="T2" i="8"/>
  <c r="S2" i="8"/>
  <c r="P2" i="8"/>
  <c r="P13" i="8"/>
  <c r="M7" i="9"/>
  <c r="C8" i="11"/>
  <c r="G14" i="11"/>
  <c r="F7" i="12"/>
  <c r="J15" i="12"/>
  <c r="C7" i="13"/>
  <c r="M13" i="13"/>
  <c r="AB13" i="14"/>
  <c r="S13" i="14"/>
  <c r="Q13" i="14"/>
  <c r="F7" i="16"/>
  <c r="M15" i="17"/>
  <c r="N15" i="17"/>
  <c r="H15" i="17"/>
  <c r="F15" i="17"/>
  <c r="C15" i="17"/>
  <c r="N3" i="19"/>
  <c r="Y6" i="10"/>
  <c r="R6" i="10"/>
  <c r="L6" i="10"/>
  <c r="J6" i="10"/>
  <c r="G3" i="8"/>
  <c r="O3" i="9"/>
  <c r="H8" i="6"/>
  <c r="F2" i="5"/>
  <c r="D2" i="5"/>
  <c r="X6" i="5"/>
  <c r="R13" i="5"/>
  <c r="I8" i="6"/>
  <c r="I13" i="6"/>
  <c r="H3" i="7"/>
  <c r="H7" i="7"/>
  <c r="J8" i="7"/>
  <c r="K3" i="8"/>
  <c r="Z3" i="9"/>
  <c r="AA6" i="10"/>
  <c r="D14" i="10"/>
  <c r="I15" i="10"/>
  <c r="C2" i="5"/>
  <c r="X13" i="5"/>
  <c r="J8" i="6"/>
  <c r="K13" i="6"/>
  <c r="Y15" i="6"/>
  <c r="I7" i="7"/>
  <c r="C2" i="8"/>
  <c r="L3" i="8"/>
  <c r="Q13" i="8"/>
  <c r="AA3" i="9"/>
  <c r="N7" i="9"/>
  <c r="E14" i="10"/>
  <c r="K15" i="10"/>
  <c r="D8" i="11"/>
  <c r="G7" i="12"/>
  <c r="S15" i="12"/>
  <c r="D7" i="13"/>
  <c r="V13" i="13"/>
  <c r="E13" i="14"/>
  <c r="X8" i="7"/>
  <c r="I8" i="7"/>
  <c r="R8" i="7"/>
  <c r="Q8" i="7"/>
  <c r="P8" i="7"/>
  <c r="D7" i="9"/>
  <c r="S14" i="11"/>
  <c r="U14" i="11"/>
  <c r="K14" i="11"/>
  <c r="Q14" i="11"/>
  <c r="P14" i="11"/>
  <c r="O14" i="11"/>
  <c r="N14" i="11"/>
  <c r="L14" i="11"/>
  <c r="I14" i="11"/>
  <c r="H14" i="11"/>
  <c r="X3" i="7"/>
  <c r="U3" i="7"/>
  <c r="AB3" i="7"/>
  <c r="F6" i="8"/>
  <c r="E6" i="10"/>
  <c r="O3" i="19"/>
  <c r="I3" i="19"/>
  <c r="H3" i="19"/>
  <c r="G3" i="19"/>
  <c r="E3" i="19"/>
  <c r="D3" i="19"/>
  <c r="AB3" i="19"/>
  <c r="C3" i="19"/>
  <c r="Y3" i="19"/>
  <c r="W3" i="19"/>
  <c r="U3" i="19"/>
  <c r="T3" i="19"/>
  <c r="R3" i="19"/>
  <c r="P3" i="19"/>
  <c r="M3" i="19"/>
  <c r="K3" i="19"/>
  <c r="AA3" i="19"/>
  <c r="S3" i="19"/>
  <c r="S3" i="9"/>
  <c r="M13" i="5"/>
  <c r="G3" i="7"/>
  <c r="H8" i="7"/>
  <c r="P6" i="8"/>
  <c r="C14" i="10"/>
  <c r="K3" i="7"/>
  <c r="J7" i="7"/>
  <c r="F14" i="10"/>
  <c r="L15" i="10"/>
  <c r="E7" i="13"/>
  <c r="I7" i="5"/>
  <c r="Z13" i="5"/>
  <c r="N13" i="6"/>
  <c r="C17" i="7"/>
  <c r="N3" i="8"/>
  <c r="Z3" i="19"/>
  <c r="L3" i="5"/>
  <c r="N7" i="5"/>
  <c r="O13" i="6"/>
  <c r="M3" i="7"/>
  <c r="AA6" i="7"/>
  <c r="K6" i="7"/>
  <c r="S6" i="7"/>
  <c r="R6" i="7"/>
  <c r="Q6" i="7"/>
  <c r="M7" i="7"/>
  <c r="N8" i="7"/>
  <c r="E13" i="7"/>
  <c r="D17" i="7"/>
  <c r="H2" i="8"/>
  <c r="O3" i="8"/>
  <c r="U13" i="8"/>
  <c r="T7" i="9"/>
  <c r="I14" i="10"/>
  <c r="O15" i="10"/>
  <c r="J8" i="11"/>
  <c r="T14" i="11"/>
  <c r="K7" i="12"/>
  <c r="W15" i="12"/>
  <c r="G7" i="13"/>
  <c r="U14" i="13"/>
  <c r="E14" i="13"/>
  <c r="R14" i="13"/>
  <c r="AA14" i="13"/>
  <c r="Y14" i="13"/>
  <c r="W14" i="13"/>
  <c r="V14" i="13"/>
  <c r="T14" i="13"/>
  <c r="Q14" i="13"/>
  <c r="P14" i="13"/>
  <c r="E3" i="14"/>
  <c r="N13" i="14"/>
  <c r="AB6" i="5"/>
  <c r="W6" i="5"/>
  <c r="R6" i="5"/>
  <c r="M6" i="5"/>
  <c r="C3" i="8"/>
  <c r="D3" i="8"/>
  <c r="E6" i="8"/>
  <c r="H13" i="8"/>
  <c r="G3" i="9"/>
  <c r="E15" i="10"/>
  <c r="D15" i="12"/>
  <c r="J13" i="5"/>
  <c r="G13" i="6"/>
  <c r="H13" i="6"/>
  <c r="O13" i="8"/>
  <c r="J3" i="19"/>
  <c r="R13" i="8"/>
  <c r="E8" i="11"/>
  <c r="M14" i="11"/>
  <c r="I7" i="12"/>
  <c r="T15" i="12"/>
  <c r="X13" i="13"/>
  <c r="V3" i="19"/>
  <c r="G2" i="8"/>
  <c r="V15" i="12"/>
  <c r="AA15" i="9"/>
  <c r="M15" i="9"/>
  <c r="J14" i="10"/>
  <c r="R15" i="10"/>
  <c r="K8" i="11"/>
  <c r="V14" i="11"/>
  <c r="Y15" i="12"/>
  <c r="I7" i="13"/>
  <c r="S3" i="14"/>
  <c r="R13" i="14"/>
  <c r="M6" i="17"/>
  <c r="L6" i="17"/>
  <c r="C6" i="17"/>
  <c r="P7" i="12"/>
  <c r="AB7" i="12"/>
  <c r="AA7" i="12"/>
  <c r="Y7" i="12"/>
  <c r="W7" i="12"/>
  <c r="V7" i="12"/>
  <c r="H6" i="10"/>
  <c r="X15" i="6"/>
  <c r="S15" i="6"/>
  <c r="U15" i="6"/>
  <c r="T15" i="6"/>
  <c r="R15" i="6"/>
  <c r="F13" i="7"/>
  <c r="O7" i="7"/>
  <c r="U8" i="7"/>
  <c r="H13" i="7"/>
  <c r="F17" i="7"/>
  <c r="K2" i="8"/>
  <c r="R3" i="8"/>
  <c r="W13" i="8"/>
  <c r="Z15" i="8"/>
  <c r="N15" i="8"/>
  <c r="M15" i="8"/>
  <c r="L15" i="8"/>
  <c r="K15" i="8"/>
  <c r="H15" i="8"/>
  <c r="F15" i="8"/>
  <c r="AB7" i="9"/>
  <c r="K15" i="9"/>
  <c r="K14" i="10"/>
  <c r="Q7" i="11"/>
  <c r="AB7" i="11"/>
  <c r="D7" i="11"/>
  <c r="R7" i="11"/>
  <c r="T7" i="11"/>
  <c r="S7" i="11"/>
  <c r="P7" i="11"/>
  <c r="O7" i="11"/>
  <c r="M7" i="11"/>
  <c r="K7" i="11"/>
  <c r="J7" i="11"/>
  <c r="P8" i="11"/>
  <c r="W14" i="11"/>
  <c r="X7" i="12"/>
  <c r="M7" i="13"/>
  <c r="T3" i="14"/>
  <c r="X13" i="14"/>
  <c r="E6" i="17"/>
  <c r="X15" i="10"/>
  <c r="N15" i="10"/>
  <c r="D15" i="10"/>
  <c r="Z15" i="10"/>
  <c r="Y15" i="10"/>
  <c r="W15" i="10"/>
  <c r="T15" i="10"/>
  <c r="Q15" i="10"/>
  <c r="P15" i="10"/>
  <c r="X15" i="12"/>
  <c r="L15" i="12"/>
  <c r="AA15" i="12"/>
  <c r="C15" i="12"/>
  <c r="R15" i="12"/>
  <c r="Q15" i="12"/>
  <c r="P15" i="12"/>
  <c r="O15" i="12"/>
  <c r="N15" i="12"/>
  <c r="M15" i="12"/>
  <c r="K15" i="12"/>
  <c r="I15" i="12"/>
  <c r="H15" i="12"/>
  <c r="G2" i="11"/>
  <c r="Q2" i="11"/>
  <c r="Z7" i="16"/>
  <c r="X7" i="16"/>
  <c r="U7" i="16"/>
  <c r="R7" i="16"/>
  <c r="P7" i="16"/>
  <c r="M7" i="16"/>
  <c r="I7" i="16"/>
  <c r="AB7" i="16"/>
  <c r="Y7" i="16"/>
  <c r="V7" i="16"/>
  <c r="T7" i="16"/>
  <c r="S7" i="16"/>
  <c r="O7" i="16"/>
  <c r="J7" i="16"/>
  <c r="H7" i="16"/>
  <c r="E7" i="16"/>
  <c r="H3" i="8"/>
  <c r="D7" i="12"/>
  <c r="O6" i="10"/>
  <c r="D7" i="16"/>
  <c r="M3" i="8"/>
  <c r="P7" i="9"/>
  <c r="U7" i="5"/>
  <c r="N3" i="7"/>
  <c r="N7" i="7"/>
  <c r="T8" i="7"/>
  <c r="P6" i="6"/>
  <c r="M6" i="6"/>
  <c r="L6" i="6"/>
  <c r="K6" i="6"/>
  <c r="X12" i="6"/>
  <c r="N12" i="6"/>
  <c r="K12" i="6"/>
  <c r="J12" i="6"/>
  <c r="D12" i="6"/>
  <c r="Y13" i="6"/>
  <c r="D15" i="6"/>
  <c r="P3" i="7"/>
  <c r="P7" i="7"/>
  <c r="V8" i="7"/>
  <c r="H17" i="7"/>
  <c r="L2" i="8"/>
  <c r="E15" i="8"/>
  <c r="W8" i="9"/>
  <c r="G8" i="9"/>
  <c r="X8" i="9"/>
  <c r="U8" i="9"/>
  <c r="S8" i="9"/>
  <c r="Y15" i="9"/>
  <c r="V15" i="10"/>
  <c r="C7" i="11"/>
  <c r="X14" i="11"/>
  <c r="Z7" i="12"/>
  <c r="AB15" i="12"/>
  <c r="N7" i="13"/>
  <c r="U3" i="14"/>
  <c r="G6" i="17"/>
  <c r="F13" i="8"/>
  <c r="S13" i="8"/>
  <c r="N13" i="8"/>
  <c r="M13" i="8"/>
  <c r="L13" i="8"/>
  <c r="I13" i="8"/>
  <c r="G13" i="8"/>
  <c r="J3" i="8"/>
  <c r="E3" i="8"/>
  <c r="Z3" i="8"/>
  <c r="W3" i="8"/>
  <c r="V3" i="8"/>
  <c r="Q3" i="8"/>
  <c r="E6" i="5"/>
  <c r="I7" i="9"/>
  <c r="X14" i="10"/>
  <c r="Q14" i="10"/>
  <c r="H14" i="10"/>
  <c r="Z14" i="10"/>
  <c r="Y14" i="10"/>
  <c r="W14" i="10"/>
  <c r="T14" i="10"/>
  <c r="R14" i="10"/>
  <c r="P14" i="10"/>
  <c r="F17" i="13"/>
  <c r="C7" i="16"/>
  <c r="K6" i="5"/>
  <c r="G15" i="12"/>
  <c r="G13" i="13"/>
  <c r="E2" i="5"/>
  <c r="Y13" i="5"/>
  <c r="U8" i="6"/>
  <c r="K7" i="7"/>
  <c r="R7" i="9"/>
  <c r="R14" i="11"/>
  <c r="T13" i="6"/>
  <c r="E17" i="7"/>
  <c r="P3" i="8"/>
  <c r="V13" i="8"/>
  <c r="V13" i="6"/>
  <c r="U7" i="7"/>
  <c r="W8" i="7"/>
  <c r="AA13" i="8"/>
  <c r="X14" i="9"/>
  <c r="Q14" i="9"/>
  <c r="H14" i="9"/>
  <c r="P14" i="9"/>
  <c r="O14" i="9"/>
  <c r="N14" i="9"/>
  <c r="K14" i="9"/>
  <c r="I14" i="9"/>
  <c r="Z15" i="9"/>
  <c r="Z17" i="9"/>
  <c r="O17" i="9"/>
  <c r="Q17" i="9"/>
  <c r="P17" i="9"/>
  <c r="M17" i="9"/>
  <c r="G17" i="9"/>
  <c r="E17" i="9"/>
  <c r="W2" i="10"/>
  <c r="C2" i="10"/>
  <c r="V2" i="10"/>
  <c r="F2" i="10"/>
  <c r="E2" i="10"/>
  <c r="D2" i="10"/>
  <c r="M14" i="10"/>
  <c r="AA15" i="10"/>
  <c r="E7" i="11"/>
  <c r="AA14" i="11"/>
  <c r="U7" i="13"/>
  <c r="Q6" i="17"/>
  <c r="C8" i="7"/>
  <c r="C3" i="9"/>
  <c r="D13" i="5"/>
  <c r="D8" i="6"/>
  <c r="E8" i="7"/>
  <c r="AB17" i="17"/>
  <c r="Z17" i="17"/>
  <c r="W17" i="17"/>
  <c r="U17" i="17"/>
  <c r="Q17" i="17"/>
  <c r="O17" i="17"/>
  <c r="L17" i="17"/>
  <c r="AA17" i="17"/>
  <c r="Y17" i="17"/>
  <c r="R17" i="17"/>
  <c r="M17" i="17"/>
  <c r="K13" i="8"/>
  <c r="L7" i="9"/>
  <c r="L8" i="7"/>
  <c r="Z13" i="7"/>
  <c r="R13" i="7"/>
  <c r="J3" i="14"/>
  <c r="G3" i="14"/>
  <c r="X3" i="14"/>
  <c r="P3" i="14"/>
  <c r="N3" i="14"/>
  <c r="M3" i="14"/>
  <c r="L3" i="14"/>
  <c r="K3" i="14"/>
  <c r="I3" i="14"/>
  <c r="F3" i="14"/>
  <c r="D3" i="14"/>
  <c r="C3" i="14"/>
  <c r="I2" i="8"/>
  <c r="U14" i="6"/>
  <c r="W14" i="6"/>
  <c r="X14" i="6"/>
  <c r="T14" i="6"/>
  <c r="S14" i="6"/>
  <c r="AA3" i="8"/>
  <c r="I6" i="6"/>
  <c r="C14" i="6"/>
  <c r="N17" i="6"/>
  <c r="L17" i="6"/>
  <c r="P17" i="6"/>
  <c r="O17" i="6"/>
  <c r="M17" i="6"/>
  <c r="Y2" i="7"/>
  <c r="L2" i="7"/>
  <c r="P2" i="7"/>
  <c r="O2" i="7"/>
  <c r="N2" i="7"/>
  <c r="T3" i="7"/>
  <c r="O6" i="7"/>
  <c r="V7" i="7"/>
  <c r="Y8" i="7"/>
  <c r="C12" i="7"/>
  <c r="K13" i="7"/>
  <c r="J17" i="7"/>
  <c r="N2" i="8"/>
  <c r="AB3" i="8"/>
  <c r="AB13" i="8"/>
  <c r="I15" i="8"/>
  <c r="E8" i="9"/>
  <c r="C14" i="9"/>
  <c r="F17" i="9"/>
  <c r="G2" i="10"/>
  <c r="N14" i="10"/>
  <c r="AB15" i="10"/>
  <c r="F7" i="11"/>
  <c r="AB14" i="11"/>
  <c r="W3" i="14"/>
  <c r="E8" i="15"/>
  <c r="C8" i="15"/>
  <c r="AB8" i="15"/>
  <c r="AA8" i="15"/>
  <c r="T8" i="15"/>
  <c r="Z8" i="15"/>
  <c r="Y8" i="15"/>
  <c r="X8" i="15"/>
  <c r="W8" i="15"/>
  <c r="R8" i="15"/>
  <c r="O8" i="15"/>
  <c r="N8" i="15"/>
  <c r="L8" i="15"/>
  <c r="K8" i="15"/>
  <c r="G8" i="15"/>
  <c r="C7" i="9"/>
  <c r="AB13" i="6"/>
  <c r="S13" i="6"/>
  <c r="R13" i="6"/>
  <c r="Q13" i="6"/>
  <c r="P13" i="6"/>
  <c r="J13" i="8"/>
  <c r="C14" i="11"/>
  <c r="J6" i="5"/>
  <c r="G8" i="6"/>
  <c r="G8" i="7"/>
  <c r="F15" i="12"/>
  <c r="F13" i="13"/>
  <c r="E17" i="17"/>
  <c r="AB8" i="11"/>
  <c r="S8" i="11"/>
  <c r="X8" i="11"/>
  <c r="T8" i="11"/>
  <c r="Q8" i="11"/>
  <c r="O8" i="11"/>
  <c r="N8" i="11"/>
  <c r="F14" i="11"/>
  <c r="E7" i="12"/>
  <c r="L7" i="16"/>
  <c r="M8" i="7"/>
  <c r="Y13" i="13"/>
  <c r="E6" i="6"/>
  <c r="L12" i="6"/>
  <c r="E15" i="6"/>
  <c r="S3" i="7"/>
  <c r="J13" i="7"/>
  <c r="J6" i="6"/>
  <c r="G15" i="6"/>
  <c r="W7" i="7"/>
  <c r="Z8" i="7"/>
  <c r="M13" i="7"/>
  <c r="Q2" i="8"/>
  <c r="X14" i="8"/>
  <c r="Z14" i="8"/>
  <c r="C14" i="8"/>
  <c r="P14" i="8"/>
  <c r="M14" i="8"/>
  <c r="L14" i="8"/>
  <c r="K14" i="8"/>
  <c r="H14" i="8"/>
  <c r="F14" i="8"/>
  <c r="J15" i="8"/>
  <c r="X12" i="9"/>
  <c r="AB12" i="9"/>
  <c r="Y12" i="9"/>
  <c r="U12" i="9"/>
  <c r="D14" i="9"/>
  <c r="J17" i="9"/>
  <c r="H2" i="10"/>
  <c r="O14" i="10"/>
  <c r="G7" i="11"/>
  <c r="M14" i="13"/>
  <c r="Y3" i="14"/>
  <c r="D8" i="15"/>
  <c r="Y7" i="9"/>
  <c r="F7" i="9"/>
  <c r="V7" i="9"/>
  <c r="AA7" i="9"/>
  <c r="X7" i="9"/>
  <c r="W7" i="9"/>
  <c r="S7" i="9"/>
  <c r="Q7" i="9"/>
  <c r="F13" i="5"/>
  <c r="I6" i="5"/>
  <c r="E8" i="6"/>
  <c r="F3" i="7"/>
  <c r="E7" i="7"/>
  <c r="O6" i="8"/>
  <c r="F3" i="19"/>
  <c r="I3" i="8"/>
  <c r="H15" i="10"/>
  <c r="AB17" i="7"/>
  <c r="G17" i="7"/>
  <c r="AA17" i="7"/>
  <c r="Z17" i="7"/>
  <c r="V17" i="7"/>
  <c r="S17" i="7"/>
  <c r="AB3" i="9"/>
  <c r="L3" i="7"/>
  <c r="T13" i="8"/>
  <c r="M3" i="5"/>
  <c r="C15" i="6"/>
  <c r="O3" i="7"/>
  <c r="Q3" i="5"/>
  <c r="X7" i="5"/>
  <c r="S3" i="5"/>
  <c r="Y7" i="5"/>
  <c r="F15" i="6"/>
  <c r="U3" i="5"/>
  <c r="AA7" i="5"/>
  <c r="V3" i="5"/>
  <c r="AB7" i="5"/>
  <c r="AB14" i="5"/>
  <c r="Z3" i="7"/>
  <c r="C12" i="9"/>
  <c r="E14" i="9"/>
  <c r="K17" i="9"/>
  <c r="J2" i="10"/>
  <c r="S14" i="10"/>
  <c r="H7" i="11"/>
  <c r="N14" i="13"/>
  <c r="Z3" i="14"/>
  <c r="F8" i="15"/>
  <c r="E13" i="8"/>
  <c r="F3" i="9"/>
  <c r="C15" i="10"/>
  <c r="C7" i="7"/>
  <c r="C6" i="10"/>
  <c r="D7" i="7"/>
  <c r="I2" i="11"/>
  <c r="G15" i="10"/>
  <c r="E14" i="11"/>
  <c r="F7" i="7"/>
  <c r="Y7" i="13"/>
  <c r="L7" i="13"/>
  <c r="H7" i="13"/>
  <c r="AB7" i="13"/>
  <c r="AA7" i="13"/>
  <c r="Z7" i="13"/>
  <c r="X7" i="13"/>
  <c r="W7" i="13"/>
  <c r="S7" i="13"/>
  <c r="R7" i="13"/>
  <c r="G14" i="10"/>
  <c r="M15" i="10"/>
  <c r="I8" i="11"/>
  <c r="J7" i="12"/>
  <c r="U7" i="9"/>
  <c r="N3" i="5"/>
  <c r="V7" i="5"/>
  <c r="N12" i="7"/>
  <c r="Y12" i="7"/>
  <c r="X12" i="7"/>
  <c r="W12" i="7"/>
  <c r="I17" i="7"/>
  <c r="M2" i="8"/>
  <c r="T3" i="5"/>
  <c r="Z7" i="5"/>
  <c r="O12" i="6"/>
  <c r="P12" i="6"/>
  <c r="D14" i="6"/>
  <c r="C17" i="6"/>
  <c r="V3" i="7"/>
  <c r="N6" i="6"/>
  <c r="R12" i="6"/>
  <c r="E14" i="6"/>
  <c r="H15" i="6"/>
  <c r="D17" i="6"/>
  <c r="Y7" i="7"/>
  <c r="AA8" i="7"/>
  <c r="F12" i="7"/>
  <c r="N13" i="7"/>
  <c r="L17" i="7"/>
  <c r="R2" i="8"/>
  <c r="D14" i="8"/>
  <c r="O15" i="8"/>
  <c r="X15" i="5"/>
  <c r="H15" i="5"/>
  <c r="G15" i="5"/>
  <c r="F15" i="5"/>
  <c r="AB15" i="5"/>
  <c r="O6" i="6"/>
  <c r="S12" i="6"/>
  <c r="F14" i="6"/>
  <c r="I15" i="6"/>
  <c r="E17" i="6"/>
  <c r="I2" i="7"/>
  <c r="V6" i="7"/>
  <c r="Z7" i="7"/>
  <c r="AB8" i="7"/>
  <c r="G12" i="7"/>
  <c r="O13" i="7"/>
  <c r="M17" i="7"/>
  <c r="V2" i="8"/>
  <c r="E14" i="8"/>
  <c r="P15" i="8"/>
  <c r="K8" i="9"/>
  <c r="D12" i="9"/>
  <c r="F14" i="9"/>
  <c r="R17" i="9"/>
  <c r="K2" i="10"/>
  <c r="U14" i="10"/>
  <c r="I7" i="11"/>
  <c r="U3" i="12"/>
  <c r="G3" i="12"/>
  <c r="T3" i="12"/>
  <c r="P3" i="12"/>
  <c r="N3" i="12"/>
  <c r="M3" i="12"/>
  <c r="K3" i="12"/>
  <c r="I3" i="12"/>
  <c r="F3" i="12"/>
  <c r="O14" i="13"/>
  <c r="AB3" i="14"/>
  <c r="H8" i="15"/>
  <c r="AB14" i="16"/>
  <c r="J14" i="16"/>
  <c r="X7" i="15"/>
  <c r="I7" i="15"/>
  <c r="G7" i="15"/>
  <c r="AA7" i="15"/>
  <c r="D7" i="15"/>
  <c r="Z7" i="15"/>
  <c r="C7" i="15"/>
  <c r="T7" i="15"/>
  <c r="J17" i="16"/>
  <c r="G17" i="16"/>
  <c r="C17" i="16"/>
  <c r="Z3" i="18"/>
  <c r="D3" i="18"/>
  <c r="Y3" i="18"/>
  <c r="V3" i="18"/>
  <c r="S3" i="18"/>
  <c r="Q3" i="18"/>
  <c r="K3" i="18"/>
  <c r="AA6" i="11"/>
  <c r="O6" i="11"/>
  <c r="T6" i="14"/>
  <c r="AB14" i="14"/>
  <c r="H7" i="15"/>
  <c r="P13" i="15"/>
  <c r="K13" i="15"/>
  <c r="I13" i="15"/>
  <c r="F13" i="15"/>
  <c r="E13" i="15"/>
  <c r="Z13" i="15"/>
  <c r="C15" i="15"/>
  <c r="AA15" i="15"/>
  <c r="R17" i="16"/>
  <c r="I3" i="18"/>
  <c r="C6" i="11"/>
  <c r="X6" i="14"/>
  <c r="X15" i="14"/>
  <c r="R15" i="14"/>
  <c r="P15" i="14"/>
  <c r="G15" i="14"/>
  <c r="AB15" i="14"/>
  <c r="V2" i="15"/>
  <c r="J7" i="15"/>
  <c r="C13" i="15"/>
  <c r="E15" i="15"/>
  <c r="U17" i="16"/>
  <c r="J3" i="18"/>
  <c r="X15" i="7"/>
  <c r="R15" i="7"/>
  <c r="Z15" i="7"/>
  <c r="J7" i="8"/>
  <c r="H13" i="10"/>
  <c r="G6" i="11"/>
  <c r="L7" i="15"/>
  <c r="G13" i="15"/>
  <c r="I15" i="15"/>
  <c r="Y17" i="16"/>
  <c r="V7" i="17"/>
  <c r="T7" i="17"/>
  <c r="R7" i="17"/>
  <c r="K7" i="17"/>
  <c r="J7" i="17"/>
  <c r="G7" i="17"/>
  <c r="F7" i="17"/>
  <c r="D7" i="17"/>
  <c r="N3" i="18"/>
  <c r="AB6" i="13"/>
  <c r="P6" i="13"/>
  <c r="Z7" i="14"/>
  <c r="X7" i="14"/>
  <c r="V7" i="14"/>
  <c r="J7" i="14"/>
  <c r="M7" i="15"/>
  <c r="AB2" i="16"/>
  <c r="Y2" i="16"/>
  <c r="U2" i="16"/>
  <c r="Z17" i="16"/>
  <c r="E7" i="17"/>
  <c r="P3" i="18"/>
  <c r="N7" i="15"/>
  <c r="U12" i="15"/>
  <c r="M12" i="15"/>
  <c r="K12" i="15"/>
  <c r="H12" i="15"/>
  <c r="G12" i="15"/>
  <c r="Z12" i="15"/>
  <c r="Z6" i="16"/>
  <c r="S6" i="16"/>
  <c r="O6" i="16"/>
  <c r="L6" i="16"/>
  <c r="K6" i="16"/>
  <c r="I6" i="16"/>
  <c r="F6" i="16"/>
  <c r="AB17" i="16"/>
  <c r="R3" i="18"/>
  <c r="X17" i="18"/>
  <c r="U17" i="18"/>
  <c r="S17" i="18"/>
  <c r="Q17" i="18"/>
  <c r="P17" i="18"/>
  <c r="O17" i="18"/>
  <c r="L17" i="18"/>
  <c r="J17" i="18"/>
  <c r="G17" i="18"/>
  <c r="E17" i="18"/>
  <c r="C17" i="18"/>
  <c r="AB17" i="18"/>
  <c r="Y17" i="18"/>
  <c r="W17" i="18"/>
  <c r="G6" i="13"/>
  <c r="Z14" i="7"/>
  <c r="U14" i="7"/>
  <c r="E15" i="7"/>
  <c r="O7" i="8"/>
  <c r="Y13" i="10"/>
  <c r="I3" i="11"/>
  <c r="J6" i="11"/>
  <c r="J17" i="11"/>
  <c r="H6" i="13"/>
  <c r="D7" i="14"/>
  <c r="H15" i="14"/>
  <c r="O7" i="15"/>
  <c r="C12" i="15"/>
  <c r="L13" i="15"/>
  <c r="T15" i="15"/>
  <c r="K2" i="16"/>
  <c r="E6" i="16"/>
  <c r="O7" i="17"/>
  <c r="W3" i="18"/>
  <c r="D17" i="18"/>
  <c r="Z13" i="10"/>
  <c r="O17" i="11"/>
  <c r="J6" i="13"/>
  <c r="AB12" i="13"/>
  <c r="V12" i="13"/>
  <c r="T12" i="13"/>
  <c r="D12" i="13"/>
  <c r="Q2" i="14"/>
  <c r="E2" i="14"/>
  <c r="Y2" i="14"/>
  <c r="E7" i="14"/>
  <c r="X2" i="15"/>
  <c r="I2" i="15"/>
  <c r="G2" i="15"/>
  <c r="U2" i="15"/>
  <c r="P7" i="15"/>
  <c r="D12" i="15"/>
  <c r="M13" i="15"/>
  <c r="U15" i="15"/>
  <c r="P2" i="16"/>
  <c r="G6" i="16"/>
  <c r="Z2" i="17"/>
  <c r="W2" i="17"/>
  <c r="J2" i="17"/>
  <c r="I2" i="17"/>
  <c r="F2" i="17"/>
  <c r="P7" i="17"/>
  <c r="C15" i="18"/>
  <c r="AB15" i="18"/>
  <c r="AA15" i="18"/>
  <c r="Y15" i="18"/>
  <c r="X15" i="18"/>
  <c r="S15" i="18"/>
  <c r="M15" i="18"/>
  <c r="J15" i="18"/>
  <c r="E15" i="18"/>
  <c r="I17" i="18"/>
  <c r="F15" i="7"/>
  <c r="P7" i="8"/>
  <c r="K6" i="11"/>
  <c r="D17" i="5"/>
  <c r="Z2" i="6"/>
  <c r="G15" i="7"/>
  <c r="C13" i="9"/>
  <c r="C8" i="10"/>
  <c r="AA13" i="10"/>
  <c r="K3" i="11"/>
  <c r="L6" i="11"/>
  <c r="K6" i="13"/>
  <c r="H12" i="13"/>
  <c r="X15" i="13"/>
  <c r="F15" i="13"/>
  <c r="AB15" i="13"/>
  <c r="D15" i="13"/>
  <c r="Q15" i="13"/>
  <c r="F2" i="14"/>
  <c r="G7" i="14"/>
  <c r="J15" i="14"/>
  <c r="C2" i="15"/>
  <c r="Q7" i="15"/>
  <c r="I12" i="15"/>
  <c r="N13" i="15"/>
  <c r="V15" i="15"/>
  <c r="Q2" i="16"/>
  <c r="H6" i="16"/>
  <c r="G2" i="17"/>
  <c r="S7" i="17"/>
  <c r="D15" i="18"/>
  <c r="M17" i="18"/>
  <c r="M6" i="13"/>
  <c r="U6" i="14"/>
  <c r="W6" i="14"/>
  <c r="S6" i="14"/>
  <c r="J6" i="14"/>
  <c r="H7" i="14"/>
  <c r="R7" i="15"/>
  <c r="J12" i="15"/>
  <c r="O13" i="15"/>
  <c r="X15" i="15"/>
  <c r="T2" i="16"/>
  <c r="J6" i="16"/>
  <c r="L2" i="17"/>
  <c r="U7" i="17"/>
  <c r="W2" i="18"/>
  <c r="Z2" i="18"/>
  <c r="X2" i="18"/>
  <c r="S2" i="18"/>
  <c r="R2" i="18"/>
  <c r="O2" i="18"/>
  <c r="N2" i="18"/>
  <c r="L2" i="18"/>
  <c r="F2" i="18"/>
  <c r="K15" i="18"/>
  <c r="N17" i="18"/>
  <c r="AB8" i="18"/>
  <c r="Y12" i="18"/>
  <c r="H2" i="19"/>
  <c r="N6" i="19"/>
  <c r="M8" i="19"/>
  <c r="C12" i="19"/>
  <c r="K13" i="19"/>
  <c r="T14" i="19"/>
  <c r="Q12" i="17"/>
  <c r="C8" i="18"/>
  <c r="M2" i="19"/>
  <c r="O6" i="19"/>
  <c r="N8" i="19"/>
  <c r="E12" i="19"/>
  <c r="L13" i="19"/>
  <c r="U14" i="19"/>
  <c r="E8" i="18"/>
  <c r="O2" i="19"/>
  <c r="P8" i="19"/>
  <c r="G12" i="19"/>
  <c r="O13" i="19"/>
  <c r="AB14" i="19"/>
  <c r="Q8" i="19"/>
  <c r="H12" i="19"/>
  <c r="P13" i="19"/>
  <c r="N2" i="13"/>
  <c r="P3" i="13"/>
  <c r="X3" i="15"/>
  <c r="W6" i="15"/>
  <c r="H8" i="17"/>
  <c r="U12" i="17"/>
  <c r="I6" i="18"/>
  <c r="G8" i="18"/>
  <c r="H13" i="18"/>
  <c r="R2" i="19"/>
  <c r="C7" i="19"/>
  <c r="R8" i="19"/>
  <c r="I12" i="19"/>
  <c r="Q13" i="19"/>
  <c r="C15" i="19"/>
  <c r="N8" i="17"/>
  <c r="K6" i="18"/>
  <c r="K8" i="18"/>
  <c r="U2" i="19"/>
  <c r="G7" i="19"/>
  <c r="T8" i="19"/>
  <c r="L12" i="19"/>
  <c r="V13" i="19"/>
  <c r="K15" i="16"/>
  <c r="O8" i="17"/>
  <c r="O6" i="18"/>
  <c r="M8" i="18"/>
  <c r="V2" i="19"/>
  <c r="H7" i="19"/>
  <c r="V8" i="19"/>
  <c r="P12" i="19"/>
  <c r="W13" i="19"/>
  <c r="E14" i="15"/>
  <c r="Y15" i="16"/>
  <c r="Q8" i="17"/>
  <c r="AB12" i="17"/>
  <c r="Q6" i="18"/>
  <c r="O8" i="18"/>
  <c r="L14" i="18"/>
  <c r="X2" i="19"/>
  <c r="M7" i="19"/>
  <c r="Y8" i="19"/>
  <c r="R12" i="19"/>
  <c r="Z13" i="19"/>
  <c r="L15" i="19"/>
  <c r="C17" i="19"/>
  <c r="D6" i="15"/>
  <c r="M14" i="15"/>
  <c r="R8" i="17"/>
  <c r="W6" i="18"/>
  <c r="P8" i="18"/>
  <c r="Q14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Z2" i="13"/>
  <c r="E3" i="15"/>
  <c r="J6" i="15"/>
  <c r="K12" i="16"/>
  <c r="U8" i="17"/>
  <c r="E12" i="17"/>
  <c r="N13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G3" i="15"/>
  <c r="L6" i="15"/>
  <c r="X12" i="16"/>
  <c r="W8" i="17"/>
  <c r="C7" i="18"/>
  <c r="U8" i="18"/>
  <c r="Y14" i="18"/>
  <c r="E8" i="19"/>
  <c r="AB12" i="19"/>
  <c r="J14" i="19"/>
  <c r="Y15" i="19"/>
  <c r="Q17" i="19"/>
  <c r="K14" i="19"/>
  <c r="AA15" i="19"/>
  <c r="R17" i="19"/>
  <c r="AA8" i="17"/>
  <c r="I12" i="17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<sst xmlns="http://schemas.openxmlformats.org/spreadsheetml/2006/main" count="3113" uniqueCount="587">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</sst>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133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NC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3.2663216334577576E-2</v>
      </c>
      <c r="C2" s="7">
        <f>$B2 * IFERROR(VLOOKUP("transport|PM25|Premature mortality", US_national_yearly!$D:$AM, 11, FALSE) / VLOOKUP("transport|PM25|Premature mortality", US_national_yearly!$D:$AM, 10, FALSE), 1)</f>
        <v>3.3068168636140649E-2</v>
      </c>
      <c r="D2" s="7">
        <f>$B2 * IFERROR(VLOOKUP("transport|PM25|Premature mortality", US_national_yearly!$D:$AM, 12, FALSE) / VLOOKUP("transport|PM25|Premature mortality", US_national_yearly!$D:$AM, 10, FALSE), 1)</f>
        <v>3.3473120937703722E-2</v>
      </c>
      <c r="E2" s="7">
        <f>$B2 * IFERROR(VLOOKUP("transport|PM25|Premature mortality", US_national_yearly!$D:$AM, 13, FALSE) / VLOOKUP("transport|PM25|Premature mortality", US_national_yearly!$D:$AM, 10, FALSE), 1)</f>
        <v>3.3878073239266789E-2</v>
      </c>
      <c r="F2" s="7">
        <f>$B2 * IFERROR(VLOOKUP("transport|PM25|Premature mortality", US_national_yearly!$D:$AM, 14, FALSE) / VLOOKUP("transport|PM25|Premature mortality", US_national_yearly!$D:$AM, 10, FALSE), 1)</f>
        <v>3.4283025540829855E-2</v>
      </c>
      <c r="G2" s="7">
        <f>$B2 * IFERROR(VLOOKUP("transport|PM25|Premature mortality", US_national_yearly!$D:$AM, 15, FALSE) / VLOOKUP("transport|PM25|Premature mortality", US_national_yearly!$D:$AM, 10, FALSE), 1)</f>
        <v>3.5071667094045973E-2</v>
      </c>
      <c r="H2" s="7">
        <f>$B2 * IFERROR(VLOOKUP("transport|PM25|Premature mortality", US_national_yearly!$D:$AM, 16, FALSE) / VLOOKUP("transport|PM25|Premature mortality", US_national_yearly!$D:$AM, 10, FALSE), 1)</f>
        <v>3.5860308647262085E-2</v>
      </c>
      <c r="I2" s="7">
        <f>$B2 * IFERROR(VLOOKUP("transport|PM25|Premature mortality", US_national_yearly!$D:$AM, 17, FALSE) / VLOOKUP("transport|PM25|Premature mortality", US_national_yearly!$D:$AM, 10, FALSE), 1)</f>
        <v>3.6378321617387424E-2</v>
      </c>
      <c r="J2" s="7">
        <f>$B2 * IFERROR(VLOOKUP("transport|PM25|Premature mortality", US_national_yearly!$D:$AM, 18, FALSE) / VLOOKUP("transport|PM25|Premature mortality", US_national_yearly!$D:$AM, 10, FALSE), 1)</f>
        <v>3.689633458751277E-2</v>
      </c>
      <c r="K2" s="7">
        <f>$B2 * IFERROR(VLOOKUP("transport|PM25|Premature mortality", US_national_yearly!$D:$AM, 19, FALSE) / VLOOKUP("transport|PM25|Premature mortality", US_national_yearly!$D:$AM, 10, FALSE), 1)</f>
        <v>3.741434755763811E-2</v>
      </c>
      <c r="L2" s="7">
        <f>$B2 * IFERROR(VLOOKUP("transport|PM25|Premature mortality", US_national_yearly!$D:$AM, 20, FALSE) / VLOOKUP("transport|PM25|Premature mortality", US_national_yearly!$D:$AM, 10, FALSE), 1)</f>
        <v>3.7932360527763463E-2</v>
      </c>
      <c r="M2" s="7">
        <f>$B2 * IFERROR(VLOOKUP("transport|PM25|Premature mortality", US_national_yearly!$D:$AM, 21, FALSE) / VLOOKUP("transport|PM25|Premature mortality", US_national_yearly!$D:$AM, 10, FALSE), 1)</f>
        <v>3.8450373497888803E-2</v>
      </c>
      <c r="N2" s="7">
        <f>$B2 * IFERROR(VLOOKUP("transport|PM25|Premature mortality", US_national_yearly!$D:$AM, 22, FALSE) / VLOOKUP("transport|PM25|Premature mortality", US_national_yearly!$D:$AM, 10, FALSE), 1)</f>
        <v>3.8852577600753245E-2</v>
      </c>
      <c r="O2" s="7">
        <f>$B2 * IFERROR(VLOOKUP("transport|PM25|Premature mortality", US_national_yearly!$D:$AM, 23, FALSE) / VLOOKUP("transport|PM25|Premature mortality", US_national_yearly!$D:$AM, 10, FALSE), 1)</f>
        <v>3.9254781703617687E-2</v>
      </c>
      <c r="P2" s="7">
        <f>$B2 * IFERROR(VLOOKUP("transport|PM25|Premature mortality", US_national_yearly!$D:$AM, 24, FALSE) / VLOOKUP("transport|PM25|Premature mortality", US_national_yearly!$D:$AM, 10, FALSE), 1)</f>
        <v>3.965698580648213E-2</v>
      </c>
      <c r="Q2" s="7">
        <f>$B2 * IFERROR(VLOOKUP("transport|PM25|Premature mortality", US_national_yearly!$D:$AM, 25, FALSE) / VLOOKUP("transport|PM25|Premature mortality", US_national_yearly!$D:$AM, 10, FALSE), 1)</f>
        <v>4.0059189909346572E-2</v>
      </c>
      <c r="R2" s="7">
        <f>$B2 * IFERROR(VLOOKUP("transport|PM25|Premature mortality", US_national_yearly!$D:$AM, 26, FALSE) / VLOOKUP("transport|PM25|Premature mortality", US_national_yearly!$D:$AM, 10, FALSE), 1)</f>
        <v>4.0461394012211029E-2</v>
      </c>
      <c r="S2" s="7">
        <f>$B2 * IFERROR(VLOOKUP("transport|PM25|Premature mortality", US_national_yearly!$D:$AM, 27, FALSE) / VLOOKUP("transport|PM25|Premature mortality", US_national_yearly!$D:$AM, 10, FALSE), 1)</f>
        <v>4.0674469796026416E-2</v>
      </c>
      <c r="T2" s="7">
        <f>$B2 * IFERROR(VLOOKUP("transport|PM25|Premature mortality", US_national_yearly!$D:$AM, 28, FALSE) / VLOOKUP("transport|PM25|Premature mortality", US_national_yearly!$D:$AM, 10, FALSE), 1)</f>
        <v>4.0887545579841797E-2</v>
      </c>
      <c r="U2" s="7">
        <f>$B2 * IFERROR(VLOOKUP("transport|PM25|Premature mortality", US_national_yearly!$D:$AM, 29, FALSE) / VLOOKUP("transport|PM25|Premature mortality", US_national_yearly!$D:$AM, 10, FALSE), 1)</f>
        <v>4.1100621363657178E-2</v>
      </c>
      <c r="V2" s="7">
        <f>$B2 * IFERROR(VLOOKUP("transport|PM25|Premature mortality", US_national_yearly!$D:$AM, 30, FALSE) / VLOOKUP("transport|PM25|Premature mortality", US_national_yearly!$D:$AM, 10, FALSE), 1)</f>
        <v>4.1313697147472565E-2</v>
      </c>
      <c r="W2" s="7">
        <f>$B2 * IFERROR(VLOOKUP("transport|PM25|Premature mortality", US_national_yearly!$D:$AM, 31, FALSE) / VLOOKUP("transport|PM25|Premature mortality", US_national_yearly!$D:$AM, 10, FALSE), 1)</f>
        <v>4.1526772931287946E-2</v>
      </c>
      <c r="X2" s="7">
        <f>$B2 * IFERROR(VLOOKUP("transport|PM25|Premature mortality", US_national_yearly!$D:$AM, 32, FALSE) / VLOOKUP("transport|PM25|Premature mortality", US_national_yearly!$D:$AM, 10, FALSE), 1)</f>
        <v>4.1564030880343432E-2</v>
      </c>
      <c r="Y2" s="7">
        <f>$B2 * IFERROR(VLOOKUP("transport|PM25|Premature mortality", US_national_yearly!$D:$AM, 33, FALSE) / VLOOKUP("transport|PM25|Premature mortality", US_national_yearly!$D:$AM, 10, FALSE), 1)</f>
        <v>4.1601288829398932E-2</v>
      </c>
      <c r="Z2" s="7">
        <f>$B2 * IFERROR(VLOOKUP("transport|PM25|Premature mortality", US_national_yearly!$D:$AM, 34, FALSE) / VLOOKUP("transport|PM25|Premature mortality", US_national_yearly!$D:$AM, 10, FALSE), 1)</f>
        <v>4.1638546778454417E-2</v>
      </c>
      <c r="AA2" s="7">
        <f>$B2 * IFERROR(VLOOKUP("transport|PM25|Premature mortality", US_national_yearly!$D:$AM, 35, FALSE) / VLOOKUP("transport|PM25|Premature mortality", US_national_yearly!$D:$AM, 10, FALSE), 1)</f>
        <v>4.1675804727509917E-2</v>
      </c>
      <c r="AB2" s="7">
        <f>$B2 * IFERROR(VLOOKUP("transport|PM25|Premature mortality", US_national_yearly!$D:$AM, 36, FALSE) / VLOOKUP("transport|PM25|Premature mortality", US_national_yearly!$D:$AM, 10, FALSE), 1)</f>
        <v>4.171306267656541E-2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1.0322015919309395E-4</v>
      </c>
      <c r="C3" s="7">
        <f>$B3 * IFERROR(VLOOKUP("transport|PM25|Infant mortality", US_national_yearly!$D:$AM, 11, FALSE) / VLOOKUP("transport|PM25|Infant mortality", US_national_yearly!$D:$AM, 10, FALSE), 1)</f>
        <v>1.023201735939968E-4</v>
      </c>
      <c r="D3" s="7">
        <f>$B3 * IFERROR(VLOOKUP("transport|PM25|Infant mortality", US_national_yearly!$D:$AM, 12, FALSE) / VLOOKUP("transport|PM25|Infant mortality", US_national_yearly!$D:$AM, 10, FALSE), 1)</f>
        <v>1.0142018799489962E-4</v>
      </c>
      <c r="E3" s="7">
        <f>$B3 * IFERROR(VLOOKUP("transport|PM25|Infant mortality", US_national_yearly!$D:$AM, 13, FALSE) / VLOOKUP("transport|PM25|Infant mortality", US_national_yearly!$D:$AM, 10, FALSE), 1)</f>
        <v>1.0052020239580248E-4</v>
      </c>
      <c r="F3" s="7">
        <f>$B3 * IFERROR(VLOOKUP("transport|PM25|Infant mortality", US_national_yearly!$D:$AM, 14, FALSE) / VLOOKUP("transport|PM25|Infant mortality", US_national_yearly!$D:$AM, 10, FALSE), 1)</f>
        <v>9.9620216796705301E-5</v>
      </c>
      <c r="G3" s="7">
        <f>$B3 * IFERROR(VLOOKUP("transport|PM25|Infant mortality", US_national_yearly!$D:$AM, 15, FALSE) / VLOOKUP("transport|PM25|Infant mortality", US_national_yearly!$D:$AM, 10, FALSE), 1)</f>
        <v>6.6252773050070994E-5</v>
      </c>
      <c r="H3" s="7">
        <f>$B3 * IFERROR(VLOOKUP("transport|PM25|Infant mortality", US_national_yearly!$D:$AM, 16, FALSE) / VLOOKUP("transport|PM25|Infant mortality", US_national_yearly!$D:$AM, 10, FALSE), 1)</f>
        <v>3.2885329303436652E-5</v>
      </c>
      <c r="I3" s="7">
        <f>$B3 * IFERROR(VLOOKUP("transport|PM25|Infant mortality", US_national_yearly!$D:$AM, 17, FALSE) / VLOOKUP("transport|PM25|Infant mortality", US_national_yearly!$D:$AM, 10, FALSE), 1)</f>
        <v>3.2670369354719102E-5</v>
      </c>
      <c r="J3" s="7">
        <f>$B3 * IFERROR(VLOOKUP("transport|PM25|Infant mortality", US_national_yearly!$D:$AM, 18, FALSE) / VLOOKUP("transport|PM25|Infant mortality", US_national_yearly!$D:$AM, 10, FALSE), 1)</f>
        <v>3.2455409406001546E-5</v>
      </c>
      <c r="K3" s="7">
        <f>$B3 * IFERROR(VLOOKUP("transport|PM25|Infant mortality", US_national_yearly!$D:$AM, 19, FALSE) / VLOOKUP("transport|PM25|Infant mortality", US_national_yearly!$D:$AM, 10, FALSE), 1)</f>
        <v>3.2240449457283989E-5</v>
      </c>
      <c r="L3" s="7">
        <f>$B3 * IFERROR(VLOOKUP("transport|PM25|Infant mortality", US_national_yearly!$D:$AM, 20, FALSE) / VLOOKUP("transport|PM25|Infant mortality", US_national_yearly!$D:$AM, 10, FALSE), 1)</f>
        <v>3.2025489508566432E-5</v>
      </c>
      <c r="M3" s="7">
        <f>$B3 * IFERROR(VLOOKUP("transport|PM25|Infant mortality", US_national_yearly!$D:$AM, 21, FALSE) / VLOOKUP("transport|PM25|Infant mortality", US_national_yearly!$D:$AM, 10, FALSE), 1)</f>
        <v>3.1810529559848882E-5</v>
      </c>
      <c r="N3" s="7">
        <f>$B3 * IFERROR(VLOOKUP("transport|PM25|Infant mortality", US_national_yearly!$D:$AM, 22, FALSE) / VLOOKUP("transport|PM25|Infant mortality", US_national_yearly!$D:$AM, 10, FALSE), 1)</f>
        <v>3.1675510913663675E-5</v>
      </c>
      <c r="O3" s="7">
        <f>$B3 * IFERROR(VLOOKUP("transport|PM25|Infant mortality", US_national_yearly!$D:$AM, 23, FALSE) / VLOOKUP("transport|PM25|Infant mortality", US_national_yearly!$D:$AM, 10, FALSE), 1)</f>
        <v>3.1540492267478475E-5</v>
      </c>
      <c r="P3" s="7">
        <f>$B3 * IFERROR(VLOOKUP("transport|PM25|Infant mortality", US_national_yearly!$D:$AM, 24, FALSE) / VLOOKUP("transport|PM25|Infant mortality", US_national_yearly!$D:$AM, 10, FALSE), 1)</f>
        <v>3.1405473621293262E-5</v>
      </c>
      <c r="Q3" s="7">
        <f>$B3 * IFERROR(VLOOKUP("transport|PM25|Infant mortality", US_national_yearly!$D:$AM, 25, FALSE) / VLOOKUP("transport|PM25|Infant mortality", US_national_yearly!$D:$AM, 10, FALSE), 1)</f>
        <v>3.1270454975108062E-5</v>
      </c>
      <c r="R3" s="7">
        <f>$B3 * IFERROR(VLOOKUP("transport|PM25|Infant mortality", US_national_yearly!$D:$AM, 26, FALSE) / VLOOKUP("transport|PM25|Infant mortality", US_national_yearly!$D:$AM, 10, FALSE), 1)</f>
        <v>3.1135436328922855E-5</v>
      </c>
      <c r="S3" s="7">
        <f>$B3 * IFERROR(VLOOKUP("transport|PM25|Infant mortality", US_national_yearly!$D:$AM, 27, FALSE) / VLOOKUP("transport|PM25|Infant mortality", US_national_yearly!$D:$AM, 10, FALSE), 1)</f>
        <v>3.0967132825780929E-5</v>
      </c>
      <c r="T3" s="7">
        <f>$B3 * IFERROR(VLOOKUP("transport|PM25|Infant mortality", US_national_yearly!$D:$AM, 28, FALSE) / VLOOKUP("transport|PM25|Infant mortality", US_national_yearly!$D:$AM, 10, FALSE), 1)</f>
        <v>3.0798829322639003E-5</v>
      </c>
      <c r="U3" s="7">
        <f>$B3 * IFERROR(VLOOKUP("transport|PM25|Infant mortality", US_national_yearly!$D:$AM, 29, FALSE) / VLOOKUP("transport|PM25|Infant mortality", US_national_yearly!$D:$AM, 10, FALSE), 1)</f>
        <v>3.0630525819497078E-5</v>
      </c>
      <c r="V3" s="7">
        <f>$B3 * IFERROR(VLOOKUP("transport|PM25|Infant mortality", US_national_yearly!$D:$AM, 30, FALSE) / VLOOKUP("transport|PM25|Infant mortality", US_national_yearly!$D:$AM, 10, FALSE), 1)</f>
        <v>3.0462222316355155E-5</v>
      </c>
      <c r="W3" s="7">
        <f>$B3 * IFERROR(VLOOKUP("transport|PM25|Infant mortality", US_national_yearly!$D:$AM, 31, FALSE) / VLOOKUP("transport|PM25|Infant mortality", US_national_yearly!$D:$AM, 10, FALSE), 1)</f>
        <v>3.0293918813213223E-5</v>
      </c>
      <c r="X3" s="7">
        <f>$B3 * IFERROR(VLOOKUP("transport|PM25|Infant mortality", US_national_yearly!$D:$AM, 32, FALSE) / VLOOKUP("transport|PM25|Infant mortality", US_national_yearly!$D:$AM, 10, FALSE), 1)</f>
        <v>3.0112466483295147E-5</v>
      </c>
      <c r="Y3" s="7">
        <f>$B3 * IFERROR(VLOOKUP("transport|PM25|Infant mortality", US_national_yearly!$D:$AM, 33, FALSE) / VLOOKUP("transport|PM25|Infant mortality", US_national_yearly!$D:$AM, 10, FALSE), 1)</f>
        <v>2.9931014153377054E-5</v>
      </c>
      <c r="Z3" s="7">
        <f>$B3 * IFERROR(VLOOKUP("transport|PM25|Infant mortality", US_national_yearly!$D:$AM, 34, FALSE) / VLOOKUP("transport|PM25|Infant mortality", US_national_yearly!$D:$AM, 10, FALSE), 1)</f>
        <v>2.9749561823458977E-5</v>
      </c>
      <c r="AA3" s="7">
        <f>$B3 * IFERROR(VLOOKUP("transport|PM25|Infant mortality", US_national_yearly!$D:$AM, 35, FALSE) / VLOOKUP("transport|PM25|Infant mortality", US_national_yearly!$D:$AM, 10, FALSE), 1)</f>
        <v>2.9568109493540891E-5</v>
      </c>
      <c r="AB3" s="7">
        <f>$B3 * IFERROR(VLOOKUP("transport|PM25|Infant mortality", US_national_yearly!$D:$AM, 36, FALSE) / VLOOKUP("transport|PM25|Infant mortality", US_national_yearly!$D:$AM, 10, FALSE), 1)</f>
        <v>2.9386657163622811E-5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9.3296778458913543E-2</v>
      </c>
      <c r="C6" s="7">
        <f>$B6 * IFERROR(VLOOKUP("transport|PM25|Asthma symptoms cough", US_national_yearly!$D:$AM, 11, FALSE) / VLOOKUP("transport|PM25|Asthma symptoms cough", US_national_yearly!$D:$AM, 10, FALSE), 1)</f>
        <v>9.3296778458913543E-2</v>
      </c>
      <c r="D6" s="7">
        <f>$B6 * IFERROR(VLOOKUP("transport|PM25|Asthma symptoms cough", US_national_yearly!$D:$AM, 12, FALSE) / VLOOKUP("transport|PM25|Asthma symptoms cough", US_national_yearly!$D:$AM, 10, FALSE), 1)</f>
        <v>9.3296778458913543E-2</v>
      </c>
      <c r="E6" s="7">
        <f>$B6 * IFERROR(VLOOKUP("transport|PM25|Asthma symptoms cough", US_national_yearly!$D:$AM, 13, FALSE) / VLOOKUP("transport|PM25|Asthma symptoms cough", US_national_yearly!$D:$AM, 10, FALSE), 1)</f>
        <v>9.3296778458913543E-2</v>
      </c>
      <c r="F6" s="7">
        <f>$B6 * IFERROR(VLOOKUP("transport|PM25|Asthma symptoms cough", US_national_yearly!$D:$AM, 14, FALSE) / VLOOKUP("transport|PM25|Asthma symptoms cough", US_national_yearly!$D:$AM, 10, FALSE), 1)</f>
        <v>9.3296778458913543E-2</v>
      </c>
      <c r="G6" s="7">
        <f>$B6 * IFERROR(VLOOKUP("transport|PM25|Asthma symptoms cough", US_national_yearly!$D:$AM, 15, FALSE) / VLOOKUP("transport|PM25|Asthma symptoms cough", US_national_yearly!$D:$AM, 10, FALSE), 1)</f>
        <v>9.3296778458913543E-2</v>
      </c>
      <c r="H6" s="7">
        <f>$B6 * IFERROR(VLOOKUP("transport|PM25|Asthma symptoms cough", US_national_yearly!$D:$AM, 16, FALSE) / VLOOKUP("transport|PM25|Asthma symptoms cough", US_national_yearly!$D:$AM, 10, FALSE), 1)</f>
        <v>9.3296778458913543E-2</v>
      </c>
      <c r="I6" s="7">
        <f>$B6 * IFERROR(VLOOKUP("transport|PM25|Asthma symptoms cough", US_national_yearly!$D:$AM, 17, FALSE) / VLOOKUP("transport|PM25|Asthma symptoms cough", US_national_yearly!$D:$AM, 10, FALSE), 1)</f>
        <v>9.3296778458913543E-2</v>
      </c>
      <c r="J6" s="7">
        <f>$B6 * IFERROR(VLOOKUP("transport|PM25|Asthma symptoms cough", US_national_yearly!$D:$AM, 18, FALSE) / VLOOKUP("transport|PM25|Asthma symptoms cough", US_national_yearly!$D:$AM, 10, FALSE), 1)</f>
        <v>9.3296778458913543E-2</v>
      </c>
      <c r="K6" s="7">
        <f>$B6 * IFERROR(VLOOKUP("transport|PM25|Asthma symptoms cough", US_national_yearly!$D:$AM, 19, FALSE) / VLOOKUP("transport|PM25|Asthma symptoms cough", US_national_yearly!$D:$AM, 10, FALSE), 1)</f>
        <v>9.3296778458913543E-2</v>
      </c>
      <c r="L6" s="7">
        <f>$B6 * IFERROR(VLOOKUP("transport|PM25|Asthma symptoms cough", US_national_yearly!$D:$AM, 20, FALSE) / VLOOKUP("transport|PM25|Asthma symptoms cough", US_national_yearly!$D:$AM, 10, FALSE), 1)</f>
        <v>9.3296778458913543E-2</v>
      </c>
      <c r="M6" s="7">
        <f>$B6 * IFERROR(VLOOKUP("transport|PM25|Asthma symptoms cough", US_national_yearly!$D:$AM, 21, FALSE) / VLOOKUP("transport|PM25|Asthma symptoms cough", US_national_yearly!$D:$AM, 10, FALSE), 1)</f>
        <v>9.3296778458913543E-2</v>
      </c>
      <c r="N6" s="7">
        <f>$B6 * IFERROR(VLOOKUP("transport|PM25|Asthma symptoms cough", US_national_yearly!$D:$AM, 22, FALSE) / VLOOKUP("transport|PM25|Asthma symptoms cough", US_national_yearly!$D:$AM, 10, FALSE), 1)</f>
        <v>9.3296778458913543E-2</v>
      </c>
      <c r="O6" s="7">
        <f>$B6 * IFERROR(VLOOKUP("transport|PM25|Asthma symptoms cough", US_national_yearly!$D:$AM, 23, FALSE) / VLOOKUP("transport|PM25|Asthma symptoms cough", US_national_yearly!$D:$AM, 10, FALSE), 1)</f>
        <v>9.3296778458913543E-2</v>
      </c>
      <c r="P6" s="7">
        <f>$B6 * IFERROR(VLOOKUP("transport|PM25|Asthma symptoms cough", US_national_yearly!$D:$AM, 24, FALSE) / VLOOKUP("transport|PM25|Asthma symptoms cough", US_national_yearly!$D:$AM, 10, FALSE), 1)</f>
        <v>9.3296778458913543E-2</v>
      </c>
      <c r="Q6" s="7">
        <f>$B6 * IFERROR(VLOOKUP("transport|PM25|Asthma symptoms cough", US_national_yearly!$D:$AM, 25, FALSE) / VLOOKUP("transport|PM25|Asthma symptoms cough", US_national_yearly!$D:$AM, 10, FALSE), 1)</f>
        <v>9.3296778458913543E-2</v>
      </c>
      <c r="R6" s="7">
        <f>$B6 * IFERROR(VLOOKUP("transport|PM25|Asthma symptoms cough", US_national_yearly!$D:$AM, 26, FALSE) / VLOOKUP("transport|PM25|Asthma symptoms cough", US_national_yearly!$D:$AM, 10, FALSE), 1)</f>
        <v>9.3296778458913543E-2</v>
      </c>
      <c r="S6" s="7">
        <f>$B6 * IFERROR(VLOOKUP("transport|PM25|Asthma symptoms cough", US_national_yearly!$D:$AM, 27, FALSE) / VLOOKUP("transport|PM25|Asthma symptoms cough", US_national_yearly!$D:$AM, 10, FALSE), 1)</f>
        <v>9.3296778458913543E-2</v>
      </c>
      <c r="T6" s="7">
        <f>$B6 * IFERROR(VLOOKUP("transport|PM25|Asthma symptoms cough", US_national_yearly!$D:$AM, 28, FALSE) / VLOOKUP("transport|PM25|Asthma symptoms cough", US_national_yearly!$D:$AM, 10, FALSE), 1)</f>
        <v>9.3296778458913543E-2</v>
      </c>
      <c r="U6" s="7">
        <f>$B6 * IFERROR(VLOOKUP("transport|PM25|Asthma symptoms cough", US_national_yearly!$D:$AM, 29, FALSE) / VLOOKUP("transport|PM25|Asthma symptoms cough", US_national_yearly!$D:$AM, 10, FALSE), 1)</f>
        <v>9.3296778458913543E-2</v>
      </c>
      <c r="V6" s="7">
        <f>$B6 * IFERROR(VLOOKUP("transport|PM25|Asthma symptoms cough", US_national_yearly!$D:$AM, 30, FALSE) / VLOOKUP("transport|PM25|Asthma symptoms cough", US_national_yearly!$D:$AM, 10, FALSE), 1)</f>
        <v>9.3296778458913543E-2</v>
      </c>
      <c r="W6" s="7">
        <f>$B6 * IFERROR(VLOOKUP("transport|PM25|Asthma symptoms cough", US_national_yearly!$D:$AM, 31, FALSE) / VLOOKUP("transport|PM25|Asthma symptoms cough", US_national_yearly!$D:$AM, 10, FALSE), 1)</f>
        <v>9.3296778458913543E-2</v>
      </c>
      <c r="X6" s="7">
        <f>$B6 * IFERROR(VLOOKUP("transport|PM25|Asthma symptoms cough", US_national_yearly!$D:$AM, 32, FALSE) / VLOOKUP("transport|PM25|Asthma symptoms cough", US_national_yearly!$D:$AM, 10, FALSE), 1)</f>
        <v>9.3296778458913543E-2</v>
      </c>
      <c r="Y6" s="7">
        <f>$B6 * IFERROR(VLOOKUP("transport|PM25|Asthma symptoms cough", US_national_yearly!$D:$AM, 33, FALSE) / VLOOKUP("transport|PM25|Asthma symptoms cough", US_national_yearly!$D:$AM, 10, FALSE), 1)</f>
        <v>9.3296778458913543E-2</v>
      </c>
      <c r="Z6" s="7">
        <f>$B6 * IFERROR(VLOOKUP("transport|PM25|Asthma symptoms cough", US_national_yearly!$D:$AM, 34, FALSE) / VLOOKUP("transport|PM25|Asthma symptoms cough", US_national_yearly!$D:$AM, 10, FALSE), 1)</f>
        <v>9.3296778458913543E-2</v>
      </c>
      <c r="AA6" s="7">
        <f>$B6 * IFERROR(VLOOKUP("transport|PM25|Asthma symptoms cough", US_national_yearly!$D:$AM, 35, FALSE) / VLOOKUP("transport|PM25|Asthma symptoms cough", US_national_yearly!$D:$AM, 10, FALSE), 1)</f>
        <v>9.3296778458913543E-2</v>
      </c>
      <c r="AB6" s="7">
        <f>$B6 * IFERROR(VLOOKUP("transport|PM25|Asthma symptoms cough", US_national_yearly!$D:$AM, 36, FALSE) / VLOOKUP("transport|PM25|Asthma symptoms cough", US_national_yearly!$D:$AM, 10, FALSE), 1)</f>
        <v>9.3296778458913543E-2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0.12563430638940934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0.12563430638940934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0.12563430638940934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0.12563430638940934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0.12563430638940934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0.12563430638940934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0.12563430638940934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0.12563430638940934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0.12563430638940934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0.12563430638940934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0.12563430638940934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0.12563430638940934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0.12563430638940934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0.12563430638940934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0.12563430638940934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0.12563430638940934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0.12563430638940934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0.12563430638940934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0.12563430638940934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0.12563430638940934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0.12563430638940934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0.12563430638940934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0.12563430638940934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0.12563430638940934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0.12563430638940934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0.12563430638940934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0.12563430638940934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0.19195984998561963</v>
      </c>
      <c r="C8" s="7">
        <f>$B8 * IFERROR(VLOOKUP("transport|PM25|Asthma symptoms wheeze", US_national_yearly!$D:$AM, 11, FALSE) / VLOOKUP("transport|PM25|Asthma symptoms wheeze", US_national_yearly!$D:$AM, 10, FALSE), 1)</f>
        <v>0.19195984998561963</v>
      </c>
      <c r="D8" s="7">
        <f>$B8 * IFERROR(VLOOKUP("transport|PM25|Asthma symptoms wheeze", US_national_yearly!$D:$AM, 12, FALSE) / VLOOKUP("transport|PM25|Asthma symptoms wheeze", US_national_yearly!$D:$AM, 10, FALSE), 1)</f>
        <v>0.19195984998561963</v>
      </c>
      <c r="E8" s="7">
        <f>$B8 * IFERROR(VLOOKUP("transport|PM25|Asthma symptoms wheeze", US_national_yearly!$D:$AM, 13, FALSE) / VLOOKUP("transport|PM25|Asthma symptoms wheeze", US_national_yearly!$D:$AM, 10, FALSE), 1)</f>
        <v>0.19195984998561963</v>
      </c>
      <c r="F8" s="7">
        <f>$B8 * IFERROR(VLOOKUP("transport|PM25|Asthma symptoms wheeze", US_national_yearly!$D:$AM, 14, FALSE) / VLOOKUP("transport|PM25|Asthma symptoms wheeze", US_national_yearly!$D:$AM, 10, FALSE), 1)</f>
        <v>0.19195984998561963</v>
      </c>
      <c r="G8" s="7">
        <f>$B8 * IFERROR(VLOOKUP("transport|PM25|Asthma symptoms wheeze", US_national_yearly!$D:$AM, 15, FALSE) / VLOOKUP("transport|PM25|Asthma symptoms wheeze", US_national_yearly!$D:$AM, 10, FALSE), 1)</f>
        <v>0.19195984998561963</v>
      </c>
      <c r="H8" s="7">
        <f>$B8 * IFERROR(VLOOKUP("transport|PM25|Asthma symptoms wheeze", US_national_yearly!$D:$AM, 16, FALSE) / VLOOKUP("transport|PM25|Asthma symptoms wheeze", US_national_yearly!$D:$AM, 10, FALSE), 1)</f>
        <v>0.19195984998561963</v>
      </c>
      <c r="I8" s="7">
        <f>$B8 * IFERROR(VLOOKUP("transport|PM25|Asthma symptoms wheeze", US_national_yearly!$D:$AM, 17, FALSE) / VLOOKUP("transport|PM25|Asthma symptoms wheeze", US_national_yearly!$D:$AM, 10, FALSE), 1)</f>
        <v>0.19195984998561963</v>
      </c>
      <c r="J8" s="7">
        <f>$B8 * IFERROR(VLOOKUP("transport|PM25|Asthma symptoms wheeze", US_national_yearly!$D:$AM, 18, FALSE) / VLOOKUP("transport|PM25|Asthma symptoms wheeze", US_national_yearly!$D:$AM, 10, FALSE), 1)</f>
        <v>0.19195984998561963</v>
      </c>
      <c r="K8" s="7">
        <f>$B8 * IFERROR(VLOOKUP("transport|PM25|Asthma symptoms wheeze", US_national_yearly!$D:$AM, 19, FALSE) / VLOOKUP("transport|PM25|Asthma symptoms wheeze", US_national_yearly!$D:$AM, 10, FALSE), 1)</f>
        <v>0.19195984998561963</v>
      </c>
      <c r="L8" s="7">
        <f>$B8 * IFERROR(VLOOKUP("transport|PM25|Asthma symptoms wheeze", US_national_yearly!$D:$AM, 20, FALSE) / VLOOKUP("transport|PM25|Asthma symptoms wheeze", US_national_yearly!$D:$AM, 10, FALSE), 1)</f>
        <v>0.19195984998561963</v>
      </c>
      <c r="M8" s="7">
        <f>$B8 * IFERROR(VLOOKUP("transport|PM25|Asthma symptoms wheeze", US_national_yearly!$D:$AM, 21, FALSE) / VLOOKUP("transport|PM25|Asthma symptoms wheeze", US_national_yearly!$D:$AM, 10, FALSE), 1)</f>
        <v>0.19195984998561963</v>
      </c>
      <c r="N8" s="7">
        <f>$B8 * IFERROR(VLOOKUP("transport|PM25|Asthma symptoms wheeze", US_national_yearly!$D:$AM, 22, FALSE) / VLOOKUP("transport|PM25|Asthma symptoms wheeze", US_national_yearly!$D:$AM, 10, FALSE), 1)</f>
        <v>0.19195984998561963</v>
      </c>
      <c r="O8" s="7">
        <f>$B8 * IFERROR(VLOOKUP("transport|PM25|Asthma symptoms wheeze", US_national_yearly!$D:$AM, 23, FALSE) / VLOOKUP("transport|PM25|Asthma symptoms wheeze", US_national_yearly!$D:$AM, 10, FALSE), 1)</f>
        <v>0.19195984998561963</v>
      </c>
      <c r="P8" s="7">
        <f>$B8 * IFERROR(VLOOKUP("transport|PM25|Asthma symptoms wheeze", US_national_yearly!$D:$AM, 24, FALSE) / VLOOKUP("transport|PM25|Asthma symptoms wheeze", US_national_yearly!$D:$AM, 10, FALSE), 1)</f>
        <v>0.19195984998561963</v>
      </c>
      <c r="Q8" s="7">
        <f>$B8 * IFERROR(VLOOKUP("transport|PM25|Asthma symptoms wheeze", US_national_yearly!$D:$AM, 25, FALSE) / VLOOKUP("transport|PM25|Asthma symptoms wheeze", US_national_yearly!$D:$AM, 10, FALSE), 1)</f>
        <v>0.19195984998561963</v>
      </c>
      <c r="R8" s="7">
        <f>$B8 * IFERROR(VLOOKUP("transport|PM25|Asthma symptoms wheeze", US_national_yearly!$D:$AM, 26, FALSE) / VLOOKUP("transport|PM25|Asthma symptoms wheeze", US_national_yearly!$D:$AM, 10, FALSE), 1)</f>
        <v>0.19195984998561963</v>
      </c>
      <c r="S8" s="7">
        <f>$B8 * IFERROR(VLOOKUP("transport|PM25|Asthma symptoms wheeze", US_national_yearly!$D:$AM, 27, FALSE) / VLOOKUP("transport|PM25|Asthma symptoms wheeze", US_national_yearly!$D:$AM, 10, FALSE), 1)</f>
        <v>0.19195984998561963</v>
      </c>
      <c r="T8" s="7">
        <f>$B8 * IFERROR(VLOOKUP("transport|PM25|Asthma symptoms wheeze", US_national_yearly!$D:$AM, 28, FALSE) / VLOOKUP("transport|PM25|Asthma symptoms wheeze", US_national_yearly!$D:$AM, 10, FALSE), 1)</f>
        <v>0.19195984998561963</v>
      </c>
      <c r="U8" s="7">
        <f>$B8 * IFERROR(VLOOKUP("transport|PM25|Asthma symptoms wheeze", US_national_yearly!$D:$AM, 29, FALSE) / VLOOKUP("transport|PM25|Asthma symptoms wheeze", US_national_yearly!$D:$AM, 10, FALSE), 1)</f>
        <v>0.19195984998561963</v>
      </c>
      <c r="V8" s="7">
        <f>$B8 * IFERROR(VLOOKUP("transport|PM25|Asthma symptoms wheeze", US_national_yearly!$D:$AM, 30, FALSE) / VLOOKUP("transport|PM25|Asthma symptoms wheeze", US_national_yearly!$D:$AM, 10, FALSE), 1)</f>
        <v>0.19195984998561963</v>
      </c>
      <c r="W8" s="7">
        <f>$B8 * IFERROR(VLOOKUP("transport|PM25|Asthma symptoms wheeze", US_national_yearly!$D:$AM, 31, FALSE) / VLOOKUP("transport|PM25|Asthma symptoms wheeze", US_national_yearly!$D:$AM, 10, FALSE), 1)</f>
        <v>0.19195984998561963</v>
      </c>
      <c r="X8" s="7">
        <f>$B8 * IFERROR(VLOOKUP("transport|PM25|Asthma symptoms wheeze", US_national_yearly!$D:$AM, 32, FALSE) / VLOOKUP("transport|PM25|Asthma symptoms wheeze", US_national_yearly!$D:$AM, 10, FALSE), 1)</f>
        <v>0.19195984998561963</v>
      </c>
      <c r="Y8" s="7">
        <f>$B8 * IFERROR(VLOOKUP("transport|PM25|Asthma symptoms wheeze", US_national_yearly!$D:$AM, 33, FALSE) / VLOOKUP("transport|PM25|Asthma symptoms wheeze", US_national_yearly!$D:$AM, 10, FALSE), 1)</f>
        <v>0.19195984998561963</v>
      </c>
      <c r="Z8" s="7">
        <f>$B8 * IFERROR(VLOOKUP("transport|PM25|Asthma symptoms wheeze", US_national_yearly!$D:$AM, 34, FALSE) / VLOOKUP("transport|PM25|Asthma symptoms wheeze", US_national_yearly!$D:$AM, 10, FALSE), 1)</f>
        <v>0.19195984998561963</v>
      </c>
      <c r="AA8" s="7">
        <f>$B8 * IFERROR(VLOOKUP("transport|PM25|Asthma symptoms wheeze", US_national_yearly!$D:$AM, 35, FALSE) / VLOOKUP("transport|PM25|Asthma symptoms wheeze", US_national_yearly!$D:$AM, 10, FALSE), 1)</f>
        <v>0.19195984998561963</v>
      </c>
      <c r="AB8" s="7">
        <f>$B8 * IFERROR(VLOOKUP("transport|PM25|Asthma symptoms wheeze", US_national_yearly!$D:$AM, 36, FALSE) / VLOOKUP("transport|PM25|Asthma symptoms wheeze", US_national_yearly!$D:$AM, 10, FALSE), 1)</f>
        <v>0.19195984998561963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2.2596616616122936E-3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2.2726131314843123E-3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2.285564601356331E-3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2.2985160712283496E-3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2.3114675411003683E-3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2.325455681010666E-3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2.3394438209209641E-3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2.3528089571466923E-3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2.3661740933724217E-3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2.3795392295981508E-3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2.3929043658238803E-3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2.4062695020496084E-3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2.4158620503379343E-3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2.4254545986262597E-3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2.4350471469145847E-3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2.4446396952029102E-3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2.4542322434912361E-3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2.4633656134513786E-3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2.4724989834115215E-3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2.4816323533716641E-3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2.490765723331807E-3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2.4998990932919496E-3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2.5086855117004282E-3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2.517471930108906E-3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2.5262583485173846E-3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2.5350447669258624E-3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2.5438311853343406E-3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1.4762250060975186E-2</v>
      </c>
      <c r="C13" s="7">
        <f>$B13 * IFERROR(VLOOKUP("transport|PM25|Non-fatal heart attacks", US_national_yearly!$D:$AM, 11, FALSE) / VLOOKUP("transport|PM25|Non-fatal heart attacks", US_national_yearly!$D:$AM, 10, FALSE), 1)</f>
        <v>1.5191427844775875E-2</v>
      </c>
      <c r="D13" s="7">
        <f>$B13 * IFERROR(VLOOKUP("transport|PM25|Non-fatal heart attacks", US_national_yearly!$D:$AM, 12, FALSE) / VLOOKUP("transport|PM25|Non-fatal heart attacks", US_national_yearly!$D:$AM, 10, FALSE), 1)</f>
        <v>1.5620605628576563E-2</v>
      </c>
      <c r="E13" s="7">
        <f>$B13 * IFERROR(VLOOKUP("transport|PM25|Non-fatal heart attacks", US_national_yearly!$D:$AM, 13, FALSE) / VLOOKUP("transport|PM25|Non-fatal heart attacks", US_national_yearly!$D:$AM, 10, FALSE), 1)</f>
        <v>1.6049783412377248E-2</v>
      </c>
      <c r="F13" s="7">
        <f>$B13 * IFERROR(VLOOKUP("transport|PM25|Non-fatal heart attacks", US_national_yearly!$D:$AM, 14, FALSE) / VLOOKUP("transport|PM25|Non-fatal heart attacks", US_national_yearly!$D:$AM, 10, FALSE), 1)</f>
        <v>1.6478961196177939E-2</v>
      </c>
      <c r="G13" s="7">
        <f>$B13 * IFERROR(VLOOKUP("transport|PM25|Non-fatal heart attacks", US_national_yearly!$D:$AM, 15, FALSE) / VLOOKUP("transport|PM25|Non-fatal heart attacks", US_national_yearly!$D:$AM, 10, FALSE), 1)</f>
        <v>1.6883702978395466E-2</v>
      </c>
      <c r="H13" s="7">
        <f>$B13 * IFERROR(VLOOKUP("transport|PM25|Non-fatal heart attacks", US_national_yearly!$D:$AM, 16, FALSE) / VLOOKUP("transport|PM25|Non-fatal heart attacks", US_national_yearly!$D:$AM, 10, FALSE), 1)</f>
        <v>1.7288444760612993E-2</v>
      </c>
      <c r="I13" s="7">
        <f>$B13 * IFERROR(VLOOKUP("transport|PM25|Non-fatal heart attacks", US_national_yearly!$D:$AM, 17, FALSE) / VLOOKUP("transport|PM25|Non-fatal heart attacks", US_national_yearly!$D:$AM, 10, FALSE), 1)</f>
        <v>1.7613722473661879E-2</v>
      </c>
      <c r="J13" s="7">
        <f>$B13 * IFERROR(VLOOKUP("transport|PM25|Non-fatal heart attacks", US_national_yearly!$D:$AM, 18, FALSE) / VLOOKUP("transport|PM25|Non-fatal heart attacks", US_national_yearly!$D:$AM, 10, FALSE), 1)</f>
        <v>1.7939000186710765E-2</v>
      </c>
      <c r="K13" s="7">
        <f>$B13 * IFERROR(VLOOKUP("transport|PM25|Non-fatal heart attacks", US_national_yearly!$D:$AM, 19, FALSE) / VLOOKUP("transport|PM25|Non-fatal heart attacks", US_national_yearly!$D:$AM, 10, FALSE), 1)</f>
        <v>1.8264277899759655E-2</v>
      </c>
      <c r="L13" s="7">
        <f>$B13 * IFERROR(VLOOKUP("transport|PM25|Non-fatal heart attacks", US_national_yearly!$D:$AM, 20, FALSE) / VLOOKUP("transport|PM25|Non-fatal heart attacks", US_national_yearly!$D:$AM, 10, FALSE), 1)</f>
        <v>1.8589555612808541E-2</v>
      </c>
      <c r="M13" s="7">
        <f>$B13 * IFERROR(VLOOKUP("transport|PM25|Non-fatal heart attacks", US_national_yearly!$D:$AM, 21, FALSE) / VLOOKUP("transport|PM25|Non-fatal heart attacks", US_national_yearly!$D:$AM, 10, FALSE), 1)</f>
        <v>1.8914833325857427E-2</v>
      </c>
      <c r="N13" s="7">
        <f>$B13 * IFERROR(VLOOKUP("transport|PM25|Non-fatal heart attacks", US_national_yearly!$D:$AM, 22, FALSE) / VLOOKUP("transport|PM25|Non-fatal heart attacks", US_national_yearly!$D:$AM, 10, FALSE), 1)</f>
        <v>1.9124605331070157E-2</v>
      </c>
      <c r="O13" s="7">
        <f>$B13 * IFERROR(VLOOKUP("transport|PM25|Non-fatal heart attacks", US_national_yearly!$D:$AM, 23, FALSE) / VLOOKUP("transport|PM25|Non-fatal heart attacks", US_national_yearly!$D:$AM, 10, FALSE), 1)</f>
        <v>1.933437733628289E-2</v>
      </c>
      <c r="P13" s="7">
        <f>$B13 * IFERROR(VLOOKUP("transport|PM25|Non-fatal heart attacks", US_national_yearly!$D:$AM, 24, FALSE) / VLOOKUP("transport|PM25|Non-fatal heart attacks", US_national_yearly!$D:$AM, 10, FALSE), 1)</f>
        <v>1.954414934149562E-2</v>
      </c>
      <c r="Q13" s="7">
        <f>$B13 * IFERROR(VLOOKUP("transport|PM25|Non-fatal heart attacks", US_national_yearly!$D:$AM, 25, FALSE) / VLOOKUP("transport|PM25|Non-fatal heart attacks", US_national_yearly!$D:$AM, 10, FALSE), 1)</f>
        <v>1.975392134670835E-2</v>
      </c>
      <c r="R13" s="7">
        <f>$B13 * IFERROR(VLOOKUP("transport|PM25|Non-fatal heart attacks", US_national_yearly!$D:$AM, 26, FALSE) / VLOOKUP("transport|PM25|Non-fatal heart attacks", US_national_yearly!$D:$AM, 10, FALSE), 1)</f>
        <v>1.996369335192108E-2</v>
      </c>
      <c r="S13" s="7">
        <f>$B13 * IFERROR(VLOOKUP("transport|PM25|Non-fatal heart attacks", US_national_yearly!$D:$AM, 27, FALSE) / VLOOKUP("transport|PM25|Non-fatal heart attacks", US_national_yearly!$D:$AM, 10, FALSE), 1)</f>
        <v>2.0074165283006554E-2</v>
      </c>
      <c r="T13" s="7">
        <f>$B13 * IFERROR(VLOOKUP("transport|PM25|Non-fatal heart attacks", US_national_yearly!$D:$AM, 28, FALSE) / VLOOKUP("transport|PM25|Non-fatal heart attacks", US_national_yearly!$D:$AM, 10, FALSE), 1)</f>
        <v>2.0184637214092034E-2</v>
      </c>
      <c r="U13" s="7">
        <f>$B13 * IFERROR(VLOOKUP("transport|PM25|Non-fatal heart attacks", US_national_yearly!$D:$AM, 29, FALSE) / VLOOKUP("transport|PM25|Non-fatal heart attacks", US_national_yearly!$D:$AM, 10, FALSE), 1)</f>
        <v>2.0295109145177515E-2</v>
      </c>
      <c r="V13" s="7">
        <f>$B13 * IFERROR(VLOOKUP("transport|PM25|Non-fatal heart attacks", US_national_yearly!$D:$AM, 30, FALSE) / VLOOKUP("transport|PM25|Non-fatal heart attacks", US_national_yearly!$D:$AM, 10, FALSE), 1)</f>
        <v>2.0405581076262991E-2</v>
      </c>
      <c r="W13" s="7">
        <f>$B13 * IFERROR(VLOOKUP("transport|PM25|Non-fatal heart attacks", US_national_yearly!$D:$AM, 31, FALSE) / VLOOKUP("transport|PM25|Non-fatal heart attacks", US_national_yearly!$D:$AM, 10, FALSE), 1)</f>
        <v>2.0516053007348468E-2</v>
      </c>
      <c r="X13" s="7">
        <f>$B13 * IFERROR(VLOOKUP("transport|PM25|Non-fatal heart attacks", US_national_yearly!$D:$AM, 32, FALSE) / VLOOKUP("transport|PM25|Non-fatal heart attacks", US_national_yearly!$D:$AM, 10, FALSE), 1)</f>
        <v>2.0599917176955286E-2</v>
      </c>
      <c r="Y13" s="7">
        <f>$B13 * IFERROR(VLOOKUP("transport|PM25|Non-fatal heart attacks", US_national_yearly!$D:$AM, 33, FALSE) / VLOOKUP("transport|PM25|Non-fatal heart attacks", US_national_yearly!$D:$AM, 10, FALSE), 1)</f>
        <v>2.0683781346562107E-2</v>
      </c>
      <c r="Z13" s="7">
        <f>$B13 * IFERROR(VLOOKUP("transport|PM25|Non-fatal heart attacks", US_national_yearly!$D:$AM, 34, FALSE) / VLOOKUP("transport|PM25|Non-fatal heart attacks", US_national_yearly!$D:$AM, 10, FALSE), 1)</f>
        <v>2.0767645516168921E-2</v>
      </c>
      <c r="AA13" s="7">
        <f>$B13 * IFERROR(VLOOKUP("transport|PM25|Non-fatal heart attacks", US_national_yearly!$D:$AM, 35, FALSE) / VLOOKUP("transport|PM25|Non-fatal heart attacks", US_national_yearly!$D:$AM, 10, FALSE), 1)</f>
        <v>2.0851509685775742E-2</v>
      </c>
      <c r="AB13" s="7">
        <f>$B13 * IFERROR(VLOOKUP("transport|PM25|Non-fatal heart attacks", US_national_yearly!$D:$AM, 36, FALSE) / VLOOKUP("transport|PM25|Non-fatal heart attacks", US_national_yearly!$D:$AM, 10, FALSE), 1)</f>
        <v>2.0935373855382557E-2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11.820958279770814</v>
      </c>
      <c r="C14" s="7">
        <f>$B14 * IFERROR(VLOOKUP("transport|PM25|Minor restricted activity days", US_national_yearly!$D:$AM, 11, FALSE) / VLOOKUP("transport|PM25|Minor restricted activity days", US_national_yearly!$D:$AM, 10, FALSE), 1)</f>
        <v>11.849826461747904</v>
      </c>
      <c r="D14" s="7">
        <f>$B14 * IFERROR(VLOOKUP("transport|PM25|Minor restricted activity days", US_national_yearly!$D:$AM, 12, FALSE) / VLOOKUP("transport|PM25|Minor restricted activity days", US_national_yearly!$D:$AM, 10, FALSE), 1)</f>
        <v>11.878694643724995</v>
      </c>
      <c r="E14" s="7">
        <f>$B14 * IFERROR(VLOOKUP("transport|PM25|Minor restricted activity days", US_national_yearly!$D:$AM, 13, FALSE) / VLOOKUP("transport|PM25|Minor restricted activity days", US_national_yearly!$D:$AM, 10, FALSE), 1)</f>
        <v>11.907562825702088</v>
      </c>
      <c r="F14" s="7">
        <f>$B14 * IFERROR(VLOOKUP("transport|PM25|Minor restricted activity days", US_national_yearly!$D:$AM, 14, FALSE) / VLOOKUP("transport|PM25|Minor restricted activity days", US_national_yearly!$D:$AM, 10, FALSE), 1)</f>
        <v>11.936431007679175</v>
      </c>
      <c r="G14" s="7">
        <f>$B14 * IFERROR(VLOOKUP("transport|PM25|Minor restricted activity days", US_national_yearly!$D:$AM, 15, FALSE) / VLOOKUP("transport|PM25|Minor restricted activity days", US_national_yearly!$D:$AM, 10, FALSE), 1)</f>
        <v>11.979025146236554</v>
      </c>
      <c r="H14" s="7">
        <f>$B14 * IFERROR(VLOOKUP("transport|PM25|Minor restricted activity days", US_national_yearly!$D:$AM, 16, FALSE) / VLOOKUP("transport|PM25|Minor restricted activity days", US_national_yearly!$D:$AM, 10, FALSE), 1)</f>
        <v>12.021619284793934</v>
      </c>
      <c r="I14" s="7">
        <f>$B14 * IFERROR(VLOOKUP("transport|PM25|Minor restricted activity days", US_national_yearly!$D:$AM, 17, FALSE) / VLOOKUP("transport|PM25|Minor restricted activity days", US_national_yearly!$D:$AM, 10, FALSE), 1)</f>
        <v>12.094435756628567</v>
      </c>
      <c r="J14" s="7">
        <f>$B14 * IFERROR(VLOOKUP("transport|PM25|Minor restricted activity days", US_national_yearly!$D:$AM, 18, FALSE) / VLOOKUP("transport|PM25|Minor restricted activity days", US_national_yearly!$D:$AM, 10, FALSE), 1)</f>
        <v>12.167252228463195</v>
      </c>
      <c r="K14" s="7">
        <f>$B14 * IFERROR(VLOOKUP("transport|PM25|Minor restricted activity days", US_national_yearly!$D:$AM, 19, FALSE) / VLOOKUP("transport|PM25|Minor restricted activity days", US_national_yearly!$D:$AM, 10, FALSE), 1)</f>
        <v>12.240068700297828</v>
      </c>
      <c r="L14" s="7">
        <f>$B14 * IFERROR(VLOOKUP("transport|PM25|Minor restricted activity days", US_national_yearly!$D:$AM, 20, FALSE) / VLOOKUP("transport|PM25|Minor restricted activity days", US_national_yearly!$D:$AM, 10, FALSE), 1)</f>
        <v>12.312885172132459</v>
      </c>
      <c r="M14" s="7">
        <f>$B14 * IFERROR(VLOOKUP("transport|PM25|Minor restricted activity days", US_national_yearly!$D:$AM, 21, FALSE) / VLOOKUP("transport|PM25|Minor restricted activity days", US_national_yearly!$D:$AM, 10, FALSE), 1)</f>
        <v>12.385701643967089</v>
      </c>
      <c r="N14" s="7">
        <f>$B14 * IFERROR(VLOOKUP("transport|PM25|Minor restricted activity days", US_national_yearly!$D:$AM, 22, FALSE) / VLOOKUP("transport|PM25|Minor restricted activity days", US_national_yearly!$D:$AM, 10, FALSE), 1)</f>
        <v>12.484892176339615</v>
      </c>
      <c r="O14" s="7">
        <f>$B14 * IFERROR(VLOOKUP("transport|PM25|Minor restricted activity days", US_national_yearly!$D:$AM, 23, FALSE) / VLOOKUP("transport|PM25|Minor restricted activity days", US_national_yearly!$D:$AM, 10, FALSE), 1)</f>
        <v>12.58408270871214</v>
      </c>
      <c r="P14" s="7">
        <f>$B14 * IFERROR(VLOOKUP("transport|PM25|Minor restricted activity days", US_national_yearly!$D:$AM, 24, FALSE) / VLOOKUP("transport|PM25|Minor restricted activity days", US_national_yearly!$D:$AM, 10, FALSE), 1)</f>
        <v>12.683273241084667</v>
      </c>
      <c r="Q14" s="7">
        <f>$B14 * IFERROR(VLOOKUP("transport|PM25|Minor restricted activity days", US_national_yearly!$D:$AM, 25, FALSE) / VLOOKUP("transport|PM25|Minor restricted activity days", US_national_yearly!$D:$AM, 10, FALSE), 1)</f>
        <v>12.782463773457192</v>
      </c>
      <c r="R14" s="7">
        <f>$B14 * IFERROR(VLOOKUP("transport|PM25|Minor restricted activity days", US_national_yearly!$D:$AM, 26, FALSE) / VLOOKUP("transport|PM25|Minor restricted activity days", US_national_yearly!$D:$AM, 10, FALSE), 1)</f>
        <v>12.881654305829716</v>
      </c>
      <c r="S14" s="7">
        <f>$B14 * IFERROR(VLOOKUP("transport|PM25|Minor restricted activity days", US_national_yearly!$D:$AM, 27, FALSE) / VLOOKUP("transport|PM25|Minor restricted activity days", US_national_yearly!$D:$AM, 10, FALSE), 1)</f>
        <v>12.981527930895998</v>
      </c>
      <c r="T14" s="7">
        <f>$B14 * IFERROR(VLOOKUP("transport|PM25|Minor restricted activity days", US_national_yearly!$D:$AM, 28, FALSE) / VLOOKUP("transport|PM25|Minor restricted activity days", US_national_yearly!$D:$AM, 10, FALSE), 1)</f>
        <v>13.081401555962278</v>
      </c>
      <c r="U14" s="7">
        <f>$B14 * IFERROR(VLOOKUP("transport|PM25|Minor restricted activity days", US_national_yearly!$D:$AM, 29, FALSE) / VLOOKUP("transport|PM25|Minor restricted activity days", US_national_yearly!$D:$AM, 10, FALSE), 1)</f>
        <v>13.18127518102856</v>
      </c>
      <c r="V14" s="7">
        <f>$B14 * IFERROR(VLOOKUP("transport|PM25|Minor restricted activity days", US_national_yearly!$D:$AM, 30, FALSE) / VLOOKUP("transport|PM25|Minor restricted activity days", US_national_yearly!$D:$AM, 10, FALSE), 1)</f>
        <v>13.281148806094842</v>
      </c>
      <c r="W14" s="7">
        <f>$B14 * IFERROR(VLOOKUP("transport|PM25|Minor restricted activity days", US_national_yearly!$D:$AM, 31, FALSE) / VLOOKUP("transport|PM25|Minor restricted activity days", US_national_yearly!$D:$AM, 10, FALSE), 1)</f>
        <v>13.381022431161124</v>
      </c>
      <c r="X14" s="7">
        <f>$B14 * IFERROR(VLOOKUP("transport|PM25|Minor restricted activity days", US_national_yearly!$D:$AM, 32, FALSE) / VLOOKUP("transport|PM25|Minor restricted activity days", US_national_yearly!$D:$AM, 10, FALSE), 1)</f>
        <v>13.467722785196504</v>
      </c>
      <c r="Y14" s="7">
        <f>$B14 * IFERROR(VLOOKUP("transport|PM25|Minor restricted activity days", US_national_yearly!$D:$AM, 33, FALSE) / VLOOKUP("transport|PM25|Minor restricted activity days", US_national_yearly!$D:$AM, 10, FALSE), 1)</f>
        <v>13.554423139231881</v>
      </c>
      <c r="Z14" s="7">
        <f>$B14 * IFERROR(VLOOKUP("transport|PM25|Minor restricted activity days", US_national_yearly!$D:$AM, 34, FALSE) / VLOOKUP("transport|PM25|Minor restricted activity days", US_national_yearly!$D:$AM, 10, FALSE), 1)</f>
        <v>13.64112349326726</v>
      </c>
      <c r="AA14" s="7">
        <f>$B14 * IFERROR(VLOOKUP("transport|PM25|Minor restricted activity days", US_national_yearly!$D:$AM, 35, FALSE) / VLOOKUP("transport|PM25|Minor restricted activity days", US_national_yearly!$D:$AM, 10, FALSE), 1)</f>
        <v>13.727823847302638</v>
      </c>
      <c r="AB14" s="7">
        <f>$B14 * IFERROR(VLOOKUP("transport|PM25|Minor restricted activity days", US_national_yearly!$D:$AM, 36, FALSE) / VLOOKUP("transport|PM25|Minor restricted activity days", US_national_yearly!$D:$AM, 10, FALSE), 1)</f>
        <v>13.814524201338015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2.0053460164126493</v>
      </c>
      <c r="C15" s="7">
        <f>$B15 * IFERROR(VLOOKUP("transport|PM25|Work loss days", US_national_yearly!$D:$AM, 11, FALSE) / VLOOKUP("transport|PM25|Work loss days", US_national_yearly!$D:$AM, 10, FALSE), 1)</f>
        <v>2.011561866796459</v>
      </c>
      <c r="D15" s="7">
        <f>$B15 * IFERROR(VLOOKUP("transport|PM25|Work loss days", US_national_yearly!$D:$AM, 12, FALSE) / VLOOKUP("transport|PM25|Work loss days", US_national_yearly!$D:$AM, 10, FALSE), 1)</f>
        <v>2.0177777171802691</v>
      </c>
      <c r="E15" s="7">
        <f>$B15 * IFERROR(VLOOKUP("transport|PM25|Work loss days", US_national_yearly!$D:$AM, 13, FALSE) / VLOOKUP("transport|PM25|Work loss days", US_national_yearly!$D:$AM, 10, FALSE), 1)</f>
        <v>2.0239935675640788</v>
      </c>
      <c r="F15" s="7">
        <f>$B15 * IFERROR(VLOOKUP("transport|PM25|Work loss days", US_national_yearly!$D:$AM, 14, FALSE) / VLOOKUP("transport|PM25|Work loss days", US_national_yearly!$D:$AM, 10, FALSE), 1)</f>
        <v>2.030209417947888</v>
      </c>
      <c r="G15" s="7">
        <f>$B15 * IFERROR(VLOOKUP("transport|PM25|Work loss days", US_national_yearly!$D:$AM, 15, FALSE) / VLOOKUP("transport|PM25|Work loss days", US_national_yearly!$D:$AM, 10, FALSE), 1)</f>
        <v>2.0383587944404371</v>
      </c>
      <c r="H15" s="7">
        <f>$B15 * IFERROR(VLOOKUP("transport|PM25|Work loss days", US_national_yearly!$D:$AM, 16, FALSE) / VLOOKUP("transport|PM25|Work loss days", US_national_yearly!$D:$AM, 10, FALSE), 1)</f>
        <v>2.0465081709329866</v>
      </c>
      <c r="I15" s="7">
        <f>$B15 * IFERROR(VLOOKUP("transport|PM25|Work loss days", US_national_yearly!$D:$AM, 17, FALSE) / VLOOKUP("transport|PM25|Work loss days", US_national_yearly!$D:$AM, 10, FALSE), 1)</f>
        <v>2.0585090241266881</v>
      </c>
      <c r="J15" s="7">
        <f>$B15 * IFERROR(VLOOKUP("transport|PM25|Work loss days", US_national_yearly!$D:$AM, 18, FALSE) / VLOOKUP("transport|PM25|Work loss days", US_national_yearly!$D:$AM, 10, FALSE), 1)</f>
        <v>2.0705098773203896</v>
      </c>
      <c r="K15" s="7">
        <f>$B15 * IFERROR(VLOOKUP("transport|PM25|Work loss days", US_national_yearly!$D:$AM, 19, FALSE) / VLOOKUP("transport|PM25|Work loss days", US_national_yearly!$D:$AM, 10, FALSE), 1)</f>
        <v>2.0825107305140915</v>
      </c>
      <c r="L15" s="7">
        <f>$B15 * IFERROR(VLOOKUP("transport|PM25|Work loss days", US_national_yearly!$D:$AM, 20, FALSE) / VLOOKUP("transport|PM25|Work loss days", US_national_yearly!$D:$AM, 10, FALSE), 1)</f>
        <v>2.094511583707793</v>
      </c>
      <c r="M15" s="7">
        <f>$B15 * IFERROR(VLOOKUP("transport|PM25|Work loss days", US_national_yearly!$D:$AM, 21, FALSE) / VLOOKUP("transport|PM25|Work loss days", US_national_yearly!$D:$AM, 10, FALSE), 1)</f>
        <v>2.1065124369014945</v>
      </c>
      <c r="N15" s="7">
        <f>$B15 * IFERROR(VLOOKUP("transport|PM25|Work loss days", US_national_yearly!$D:$AM, 22, FALSE) / VLOOKUP("transport|PM25|Work loss days", US_national_yearly!$D:$AM, 10, FALSE), 1)</f>
        <v>2.1216164189759579</v>
      </c>
      <c r="O15" s="7">
        <f>$B15 * IFERROR(VLOOKUP("transport|PM25|Work loss days", US_national_yearly!$D:$AM, 23, FALSE) / VLOOKUP("transport|PM25|Work loss days", US_national_yearly!$D:$AM, 10, FALSE), 1)</f>
        <v>2.1367204010504208</v>
      </c>
      <c r="P15" s="7">
        <f>$B15 * IFERROR(VLOOKUP("transport|PM25|Work loss days", US_national_yearly!$D:$AM, 24, FALSE) / VLOOKUP("transport|PM25|Work loss days", US_national_yearly!$D:$AM, 10, FALSE), 1)</f>
        <v>2.1518243831248847</v>
      </c>
      <c r="Q15" s="7">
        <f>$B15 * IFERROR(VLOOKUP("transport|PM25|Work loss days", US_national_yearly!$D:$AM, 25, FALSE) / VLOOKUP("transport|PM25|Work loss days", US_national_yearly!$D:$AM, 10, FALSE), 1)</f>
        <v>2.1669283651993476</v>
      </c>
      <c r="R15" s="7">
        <f>$B15 * IFERROR(VLOOKUP("transport|PM25|Work loss days", US_national_yearly!$D:$AM, 26, FALSE) / VLOOKUP("transport|PM25|Work loss days", US_national_yearly!$D:$AM, 10, FALSE), 1)</f>
        <v>2.182032347273811</v>
      </c>
      <c r="S15" s="7">
        <f>$B15 * IFERROR(VLOOKUP("transport|PM25|Work loss days", US_national_yearly!$D:$AM, 27, FALSE) / VLOOKUP("transport|PM25|Work loss days", US_national_yearly!$D:$AM, 10, FALSE), 1)</f>
        <v>2.1987379962893181</v>
      </c>
      <c r="T15" s="7">
        <f>$B15 * IFERROR(VLOOKUP("transport|PM25|Work loss days", US_national_yearly!$D:$AM, 28, FALSE) / VLOOKUP("transport|PM25|Work loss days", US_national_yearly!$D:$AM, 10, FALSE), 1)</f>
        <v>2.2154436453048252</v>
      </c>
      <c r="U15" s="7">
        <f>$B15 * IFERROR(VLOOKUP("transport|PM25|Work loss days", US_national_yearly!$D:$AM, 29, FALSE) / VLOOKUP("transport|PM25|Work loss days", US_national_yearly!$D:$AM, 10, FALSE), 1)</f>
        <v>2.2321492943203314</v>
      </c>
      <c r="V15" s="7">
        <f>$B15 * IFERROR(VLOOKUP("transport|PM25|Work loss days", US_national_yearly!$D:$AM, 30, FALSE) / VLOOKUP("transport|PM25|Work loss days", US_national_yearly!$D:$AM, 10, FALSE), 1)</f>
        <v>2.2488549433358385</v>
      </c>
      <c r="W15" s="7">
        <f>$B15 * IFERROR(VLOOKUP("transport|PM25|Work loss days", US_national_yearly!$D:$AM, 31, FALSE) / VLOOKUP("transport|PM25|Work loss days", US_national_yearly!$D:$AM, 10, FALSE), 1)</f>
        <v>2.2655605923513451</v>
      </c>
      <c r="X15" s="7">
        <f>$B15 * IFERROR(VLOOKUP("transport|PM25|Work loss days", US_national_yearly!$D:$AM, 32, FALSE) / VLOOKUP("transport|PM25|Work loss days", US_national_yearly!$D:$AM, 10, FALSE), 1)</f>
        <v>2.2803830086021533</v>
      </c>
      <c r="Y15" s="7">
        <f>$B15 * IFERROR(VLOOKUP("transport|PM25|Work loss days", US_national_yearly!$D:$AM, 33, FALSE) / VLOOKUP("transport|PM25|Work loss days", US_national_yearly!$D:$AM, 10, FALSE), 1)</f>
        <v>2.2952054248529614</v>
      </c>
      <c r="Z15" s="7">
        <f>$B15 * IFERROR(VLOOKUP("transport|PM25|Work loss days", US_national_yearly!$D:$AM, 34, FALSE) / VLOOKUP("transport|PM25|Work loss days", US_national_yearly!$D:$AM, 10, FALSE), 1)</f>
        <v>2.3100278411037705</v>
      </c>
      <c r="AA15" s="7">
        <f>$B15 * IFERROR(VLOOKUP("transport|PM25|Work loss days", US_national_yearly!$D:$AM, 35, FALSE) / VLOOKUP("transport|PM25|Work loss days", US_national_yearly!$D:$AM, 10, FALSE), 1)</f>
        <v>2.3248502573545791</v>
      </c>
      <c r="AB15" s="7">
        <f>$B15 * IFERROR(VLOOKUP("transport|PM25|Work loss days", US_national_yearly!$D:$AM, 36, FALSE) / VLOOKUP("transport|PM25|Work loss days", US_national_yearly!$D:$AM, 10, FALSE), 1)</f>
        <v>2.3396726736053872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3.8143702936757648E-3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3.9283463378754976E-3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4.0423223820752318E-3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4.156298426274966E-3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4.2702744704747001E-3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4.3794431616476339E-3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4.4886118528205685E-3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4.5819789111130717E-3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4.6753459694055749E-3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4.7687130276980782E-3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4.8620800859905822E-3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4.9554471442830855E-3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5.0176970937411084E-3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5.0799470431991322E-3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5.1421969926571552E-3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5.204446942115179E-3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5.2666968915732019E-3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5.2996329265583078E-3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5.3325689615434119E-3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5.3655049965285152E-3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5.3984410315136202E-3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5.4313770664987243E-3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5.4535500384903166E-3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5.4757230104819097E-3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5.4978959824735019E-3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5.5200689544650941E-3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5.5422419264566864E-3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1.2982744591876092E-3</v>
      </c>
      <c r="C2" s="7">
        <f>$B2 * IFERROR(VLOOKUP("transport|NOx|Premature mortality", US_national_yearly!$D:$AM, 11, FALSE) / VLOOKUP("transport|NOx|Premature mortality", US_national_yearly!$D:$AM, 10, FALSE), 1)</f>
        <v>1.3173439165804215E-3</v>
      </c>
      <c r="D2" s="7">
        <f>$B2 * IFERROR(VLOOKUP("transport|NOx|Premature mortality", US_national_yearly!$D:$AM, 12, FALSE) / VLOOKUP("transport|NOx|Premature mortality", US_national_yearly!$D:$AM, 10, FALSE), 1)</f>
        <v>1.3364133739732337E-3</v>
      </c>
      <c r="E2" s="7">
        <f>$B2 * IFERROR(VLOOKUP("transport|NOx|Premature mortality", US_national_yearly!$D:$AM, 13, FALSE) / VLOOKUP("transport|NOx|Premature mortality", US_national_yearly!$D:$AM, 10, FALSE), 1)</f>
        <v>1.355482831366046E-3</v>
      </c>
      <c r="F2" s="7">
        <f>$B2 * IFERROR(VLOOKUP("transport|NOx|Premature mortality", US_national_yearly!$D:$AM, 14, FALSE) / VLOOKUP("transport|NOx|Premature mortality", US_national_yearly!$D:$AM, 10, FALSE), 1)</f>
        <v>1.3745522887588582E-3</v>
      </c>
      <c r="G2" s="7">
        <f>$B2 * IFERROR(VLOOKUP("transport|NOx|Premature mortality", US_national_yearly!$D:$AM, 15, FALSE) / VLOOKUP("transport|NOx|Premature mortality", US_national_yearly!$D:$AM, 10, FALSE), 1)</f>
        <v>1.4088055427176401E-3</v>
      </c>
      <c r="H2" s="7">
        <f>$B2 * IFERROR(VLOOKUP("transport|NOx|Premature mortality", US_national_yearly!$D:$AM, 16, FALSE) / VLOOKUP("transport|NOx|Premature mortality", US_national_yearly!$D:$AM, 10, FALSE), 1)</f>
        <v>1.4430587966764224E-3</v>
      </c>
      <c r="I2" s="7">
        <f>$B2 * IFERROR(VLOOKUP("transport|NOx|Premature mortality", US_national_yearly!$D:$AM, 17, FALSE) / VLOOKUP("transport|NOx|Premature mortality", US_national_yearly!$D:$AM, 10, FALSE), 1)</f>
        <v>1.4651699218442879E-3</v>
      </c>
      <c r="J2" s="7">
        <f>$B2 * IFERROR(VLOOKUP("transport|NOx|Premature mortality", US_national_yearly!$D:$AM, 18, FALSE) / VLOOKUP("transport|NOx|Premature mortality", US_national_yearly!$D:$AM, 10, FALSE), 1)</f>
        <v>1.4872810470121537E-3</v>
      </c>
      <c r="K2" s="7">
        <f>$B2 * IFERROR(VLOOKUP("transport|NOx|Premature mortality", US_national_yearly!$D:$AM, 19, FALSE) / VLOOKUP("transport|NOx|Premature mortality", US_national_yearly!$D:$AM, 10, FALSE), 1)</f>
        <v>1.5093921721800192E-3</v>
      </c>
      <c r="L2" s="7">
        <f>$B2 * IFERROR(VLOOKUP("transport|NOx|Premature mortality", US_national_yearly!$D:$AM, 20, FALSE) / VLOOKUP("transport|NOx|Premature mortality", US_national_yearly!$D:$AM, 10, FALSE), 1)</f>
        <v>1.5315032973478846E-3</v>
      </c>
      <c r="M2" s="7">
        <f>$B2 * IFERROR(VLOOKUP("transport|NOx|Premature mortality", US_national_yearly!$D:$AM, 21, FALSE) / VLOOKUP("transport|NOx|Premature mortality", US_national_yearly!$D:$AM, 10, FALSE), 1)</f>
        <v>1.5536144225157503E-3</v>
      </c>
      <c r="N2" s="7">
        <f>$B2 * IFERROR(VLOOKUP("transport|NOx|Premature mortality", US_national_yearly!$D:$AM, 22, FALSE) / VLOOKUP("transport|NOx|Premature mortality", US_national_yearly!$D:$AM, 10, FALSE), 1)</f>
        <v>1.5699942580821398E-3</v>
      </c>
      <c r="O2" s="7">
        <f>$B2 * IFERROR(VLOOKUP("transport|NOx|Premature mortality", US_national_yearly!$D:$AM, 23, FALSE) / VLOOKUP("transport|NOx|Premature mortality", US_national_yearly!$D:$AM, 10, FALSE), 1)</f>
        <v>1.5863740936485292E-3</v>
      </c>
      <c r="P2" s="7">
        <f>$B2 * IFERROR(VLOOKUP("transport|NOx|Premature mortality", US_national_yearly!$D:$AM, 24, FALSE) / VLOOKUP("transport|NOx|Premature mortality", US_national_yearly!$D:$AM, 10, FALSE), 1)</f>
        <v>1.6027539292149187E-3</v>
      </c>
      <c r="Q2" s="7">
        <f>$B2 * IFERROR(VLOOKUP("transport|NOx|Premature mortality", US_national_yearly!$D:$AM, 25, FALSE) / VLOOKUP("transport|NOx|Premature mortality", US_national_yearly!$D:$AM, 10, FALSE), 1)</f>
        <v>1.6191337647813084E-3</v>
      </c>
      <c r="R2" s="7">
        <f>$B2 * IFERROR(VLOOKUP("transport|NOx|Premature mortality", US_national_yearly!$D:$AM, 26, FALSE) / VLOOKUP("transport|NOx|Premature mortality", US_national_yearly!$D:$AM, 10, FALSE), 1)</f>
        <v>1.6355136003476979E-3</v>
      </c>
      <c r="S2" s="7">
        <f>$B2 * IFERROR(VLOOKUP("transport|NOx|Premature mortality", US_national_yearly!$D:$AM, 27, FALSE) / VLOOKUP("transport|NOx|Premature mortality", US_national_yearly!$D:$AM, 10, FALSE), 1)</f>
        <v>1.6429584005553742E-3</v>
      </c>
      <c r="T2" s="7">
        <f>$B2 * IFERROR(VLOOKUP("transport|NOx|Premature mortality", US_national_yearly!$D:$AM, 28, FALSE) / VLOOKUP("transport|NOx|Premature mortality", US_national_yearly!$D:$AM, 10, FALSE), 1)</f>
        <v>1.6504032007630507E-3</v>
      </c>
      <c r="U2" s="7">
        <f>$B2 * IFERROR(VLOOKUP("transport|NOx|Premature mortality", US_national_yearly!$D:$AM, 29, FALSE) / VLOOKUP("transport|NOx|Premature mortality", US_national_yearly!$D:$AM, 10, FALSE), 1)</f>
        <v>1.6578480009707267E-3</v>
      </c>
      <c r="V2" s="7">
        <f>$B2 * IFERROR(VLOOKUP("transport|NOx|Premature mortality", US_national_yearly!$D:$AM, 30, FALSE) / VLOOKUP("transport|NOx|Premature mortality", US_national_yearly!$D:$AM, 10, FALSE), 1)</f>
        <v>1.665292801178403E-3</v>
      </c>
      <c r="W2" s="7">
        <f>$B2 * IFERROR(VLOOKUP("transport|NOx|Premature mortality", US_national_yearly!$D:$AM, 31, FALSE) / VLOOKUP("transport|NOx|Premature mortality", US_national_yearly!$D:$AM, 10, FALSE), 1)</f>
        <v>1.6727376013860795E-3</v>
      </c>
      <c r="X2" s="7">
        <f>$B2 * IFERROR(VLOOKUP("transport|NOx|Premature mortality", US_national_yearly!$D:$AM, 32, FALSE) / VLOOKUP("transport|NOx|Premature mortality", US_national_yearly!$D:$AM, 10, FALSE), 1)</f>
        <v>1.6729954849919238E-3</v>
      </c>
      <c r="Y2" s="7">
        <f>$B2 * IFERROR(VLOOKUP("transport|NOx|Premature mortality", US_national_yearly!$D:$AM, 33, FALSE) / VLOOKUP("transport|NOx|Premature mortality", US_national_yearly!$D:$AM, 10, FALSE), 1)</f>
        <v>1.6732533685977684E-3</v>
      </c>
      <c r="Z2" s="7">
        <f>$B2 * IFERROR(VLOOKUP("transport|NOx|Premature mortality", US_national_yearly!$D:$AM, 34, FALSE) / VLOOKUP("transport|NOx|Premature mortality", US_national_yearly!$D:$AM, 10, FALSE), 1)</f>
        <v>1.6735112522036125E-3</v>
      </c>
      <c r="AA2" s="7">
        <f>$B2 * IFERROR(VLOOKUP("transport|NOx|Premature mortality", US_national_yearly!$D:$AM, 35, FALSE) / VLOOKUP("transport|NOx|Premature mortality", US_national_yearly!$D:$AM, 10, FALSE), 1)</f>
        <v>1.6737691358094571E-3</v>
      </c>
      <c r="AB2" s="7">
        <f>$B2 * IFERROR(VLOOKUP("transport|NOx|Premature mortality", US_national_yearly!$D:$AM, 36, FALSE) / VLOOKUP("transport|NOx|Premature mortality", US_national_yearly!$D:$AM, 10, FALSE), 1)</f>
        <v>1.6740270194153016E-3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4.0238395351391365E-6</v>
      </c>
      <c r="C3" s="7">
        <f>$B3 * IFERROR(VLOOKUP("transport|NOx|Infant mortality", US_national_yearly!$D:$AM, 11, FALSE) / VLOOKUP("transport|NOx|Infant mortality", US_national_yearly!$D:$AM, 10, FALSE), 1)</f>
        <v>3.9855022101699144E-6</v>
      </c>
      <c r="D3" s="7">
        <f>$B3 * IFERROR(VLOOKUP("transport|NOx|Infant mortality", US_national_yearly!$D:$AM, 12, FALSE) / VLOOKUP("transport|NOx|Infant mortality", US_national_yearly!$D:$AM, 10, FALSE), 1)</f>
        <v>3.9471648852006923E-6</v>
      </c>
      <c r="E3" s="7">
        <f>$B3 * IFERROR(VLOOKUP("transport|NOx|Infant mortality", US_national_yearly!$D:$AM, 13, FALSE) / VLOOKUP("transport|NOx|Infant mortality", US_national_yearly!$D:$AM, 10, FALSE), 1)</f>
        <v>3.9088275602314702E-6</v>
      </c>
      <c r="F3" s="7">
        <f>$B3 * IFERROR(VLOOKUP("transport|NOx|Infant mortality", US_national_yearly!$D:$AM, 14, FALSE) / VLOOKUP("transport|NOx|Infant mortality", US_national_yearly!$D:$AM, 10, FALSE), 1)</f>
        <v>3.8704902352622489E-6</v>
      </c>
      <c r="G3" s="7">
        <f>$B3 * IFERROR(VLOOKUP("transport|NOx|Infant mortality", US_national_yearly!$D:$AM, 15, FALSE) / VLOOKUP("transport|NOx|Infant mortality", US_national_yearly!$D:$AM, 10, FALSE), 1)</f>
        <v>2.5694225467782121E-6</v>
      </c>
      <c r="H3" s="7">
        <f>$B3 * IFERROR(VLOOKUP("transport|NOx|Infant mortality", US_national_yearly!$D:$AM, 16, FALSE) / VLOOKUP("transport|NOx|Infant mortality", US_national_yearly!$D:$AM, 10, FALSE), 1)</f>
        <v>1.2683548582941758E-6</v>
      </c>
      <c r="I3" s="7">
        <f>$B3 * IFERROR(VLOOKUP("transport|NOx|Infant mortality", US_national_yearly!$D:$AM, 17, FALSE) / VLOOKUP("transport|NOx|Infant mortality", US_national_yearly!$D:$AM, 10, FALSE), 1)</f>
        <v>1.2593863784158823E-6</v>
      </c>
      <c r="J3" s="7">
        <f>$B3 * IFERROR(VLOOKUP("transport|NOx|Infant mortality", US_national_yearly!$D:$AM, 18, FALSE) / VLOOKUP("transport|NOx|Infant mortality", US_national_yearly!$D:$AM, 10, FALSE), 1)</f>
        <v>1.2504178985375886E-6</v>
      </c>
      <c r="K3" s="7">
        <f>$B3 * IFERROR(VLOOKUP("transport|NOx|Infant mortality", US_national_yearly!$D:$AM, 19, FALSE) / VLOOKUP("transport|NOx|Infant mortality", US_national_yearly!$D:$AM, 10, FALSE), 1)</f>
        <v>1.2414494186592953E-6</v>
      </c>
      <c r="L3" s="7">
        <f>$B3 * IFERROR(VLOOKUP("transport|NOx|Infant mortality", US_national_yearly!$D:$AM, 20, FALSE) / VLOOKUP("transport|NOx|Infant mortality", US_national_yearly!$D:$AM, 10, FALSE), 1)</f>
        <v>1.2324809387810018E-6</v>
      </c>
      <c r="M3" s="7">
        <f>$B3 * IFERROR(VLOOKUP("transport|NOx|Infant mortality", US_national_yearly!$D:$AM, 21, FALSE) / VLOOKUP("transport|NOx|Infant mortality", US_national_yearly!$D:$AM, 10, FALSE), 1)</f>
        <v>1.2235124589027081E-6</v>
      </c>
      <c r="N3" s="7">
        <f>$B3 * IFERROR(VLOOKUP("transport|NOx|Infant mortality", US_national_yearly!$D:$AM, 22, FALSE) / VLOOKUP("transport|NOx|Infant mortality", US_national_yearly!$D:$AM, 10, FALSE), 1)</f>
        <v>1.2175595569539239E-6</v>
      </c>
      <c r="O3" s="7">
        <f>$B3 * IFERROR(VLOOKUP("transport|NOx|Infant mortality", US_national_yearly!$D:$AM, 23, FALSE) / VLOOKUP("transport|NOx|Infant mortality", US_national_yearly!$D:$AM, 10, FALSE), 1)</f>
        <v>1.2116066550051399E-6</v>
      </c>
      <c r="P3" s="7">
        <f>$B3 * IFERROR(VLOOKUP("transport|NOx|Infant mortality", US_national_yearly!$D:$AM, 24, FALSE) / VLOOKUP("transport|NOx|Infant mortality", US_national_yearly!$D:$AM, 10, FALSE), 1)</f>
        <v>1.2056537530563557E-6</v>
      </c>
      <c r="Q3" s="7">
        <f>$B3 * IFERROR(VLOOKUP("transport|NOx|Infant mortality", US_national_yearly!$D:$AM, 25, FALSE) / VLOOKUP("transport|NOx|Infant mortality", US_national_yearly!$D:$AM, 10, FALSE), 1)</f>
        <v>1.1997008511075714E-6</v>
      </c>
      <c r="R3" s="7">
        <f>$B3 * IFERROR(VLOOKUP("transport|NOx|Infant mortality", US_national_yearly!$D:$AM, 26, FALSE) / VLOOKUP("transport|NOx|Infant mortality", US_national_yearly!$D:$AM, 10, FALSE), 1)</f>
        <v>1.1937479491587872E-6</v>
      </c>
      <c r="S3" s="7">
        <f>$B3 * IFERROR(VLOOKUP("transport|NOx|Infant mortality", US_national_yearly!$D:$AM, 27, FALSE) / VLOOKUP("transport|NOx|Infant mortality", US_national_yearly!$D:$AM, 10, FALSE), 1)</f>
        <v>1.1865916143631064E-6</v>
      </c>
      <c r="T3" s="7">
        <f>$B3 * IFERROR(VLOOKUP("transport|NOx|Infant mortality", US_national_yearly!$D:$AM, 28, FALSE) / VLOOKUP("transport|NOx|Infant mortality", US_national_yearly!$D:$AM, 10, FALSE), 1)</f>
        <v>1.1794352795674257E-6</v>
      </c>
      <c r="U3" s="7">
        <f>$B3 * IFERROR(VLOOKUP("transport|NOx|Infant mortality", US_national_yearly!$D:$AM, 29, FALSE) / VLOOKUP("transport|NOx|Infant mortality", US_national_yearly!$D:$AM, 10, FALSE), 1)</f>
        <v>1.1722789447717449E-6</v>
      </c>
      <c r="V3" s="7">
        <f>$B3 * IFERROR(VLOOKUP("transport|NOx|Infant mortality", US_national_yearly!$D:$AM, 30, FALSE) / VLOOKUP("transport|NOx|Infant mortality", US_national_yearly!$D:$AM, 10, FALSE), 1)</f>
        <v>1.1651226099760641E-6</v>
      </c>
      <c r="W3" s="7">
        <f>$B3 * IFERROR(VLOOKUP("transport|NOx|Infant mortality", US_national_yearly!$D:$AM, 31, FALSE) / VLOOKUP("transport|NOx|Infant mortality", US_national_yearly!$D:$AM, 10, FALSE), 1)</f>
        <v>1.1579662751803832E-6</v>
      </c>
      <c r="X3" s="7">
        <f>$B3 * IFERROR(VLOOKUP("transport|NOx|Infant mortality", US_national_yearly!$D:$AM, 32, FALSE) / VLOOKUP("transport|NOx|Infant mortality", US_national_yearly!$D:$AM, 10, FALSE), 1)</f>
        <v>1.1503873705655312E-6</v>
      </c>
      <c r="Y3" s="7">
        <f>$B3 * IFERROR(VLOOKUP("transport|NOx|Infant mortality", US_national_yearly!$D:$AM, 33, FALSE) / VLOOKUP("transport|NOx|Infant mortality", US_national_yearly!$D:$AM, 10, FALSE), 1)</f>
        <v>1.1428084659506789E-6</v>
      </c>
      <c r="Z3" s="7">
        <f>$B3 * IFERROR(VLOOKUP("transport|NOx|Infant mortality", US_national_yearly!$D:$AM, 34, FALSE) / VLOOKUP("transport|NOx|Infant mortality", US_national_yearly!$D:$AM, 10, FALSE), 1)</f>
        <v>1.1352295613358265E-6</v>
      </c>
      <c r="AA3" s="7">
        <f>$B3 * IFERROR(VLOOKUP("transport|NOx|Infant mortality", US_national_yearly!$D:$AM, 35, FALSE) / VLOOKUP("transport|NOx|Infant mortality", US_national_yearly!$D:$AM, 10, FALSE), 1)</f>
        <v>1.1276506567209743E-6</v>
      </c>
      <c r="AB3" s="7">
        <f>$B3 * IFERROR(VLOOKUP("transport|NOx|Infant mortality", US_national_yearly!$D:$AM, 36, FALSE) / VLOOKUP("transport|NOx|Infant mortality", US_national_yearly!$D:$AM, 10, FALSE), 1)</f>
        <v>1.1200717521061219E-6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3.6021336887995048E-3</v>
      </c>
      <c r="C6" s="7">
        <f>$B6 * IFERROR(VLOOKUP("transport|NOx|Asthma symptoms cough", US_national_yearly!$D:$AM, 11, FALSE) / VLOOKUP("transport|NOx|Asthma symptoms cough", US_national_yearly!$D:$AM, 10, FALSE), 1)</f>
        <v>3.651380745580851E-3</v>
      </c>
      <c r="D6" s="7">
        <f>$B6 * IFERROR(VLOOKUP("transport|NOx|Asthma symptoms cough", US_national_yearly!$D:$AM, 12, FALSE) / VLOOKUP("transport|NOx|Asthma symptoms cough", US_national_yearly!$D:$AM, 10, FALSE), 1)</f>
        <v>3.7006278023621977E-3</v>
      </c>
      <c r="E6" s="7">
        <f>$B6 * IFERROR(VLOOKUP("transport|NOx|Asthma symptoms cough", US_national_yearly!$D:$AM, 13, FALSE) / VLOOKUP("transport|NOx|Asthma symptoms cough", US_national_yearly!$D:$AM, 10, FALSE), 1)</f>
        <v>3.7498748591435439E-3</v>
      </c>
      <c r="F6" s="7">
        <f>$B6 * IFERROR(VLOOKUP("transport|NOx|Asthma symptoms cough", US_national_yearly!$D:$AM, 14, FALSE) / VLOOKUP("transport|NOx|Asthma symptoms cough", US_national_yearly!$D:$AM, 10, FALSE), 1)</f>
        <v>3.7991219159248901E-3</v>
      </c>
      <c r="G6" s="7">
        <f>$B6 * IFERROR(VLOOKUP("transport|NOx|Asthma symptoms cough", US_national_yearly!$D:$AM, 15, FALSE) / VLOOKUP("transport|NOx|Asthma symptoms cough", US_national_yearly!$D:$AM, 10, FALSE), 1)</f>
        <v>3.8384388089535422E-3</v>
      </c>
      <c r="H6" s="7">
        <f>$B6 * IFERROR(VLOOKUP("transport|NOx|Asthma symptoms cough", US_national_yearly!$D:$AM, 16, FALSE) / VLOOKUP("transport|NOx|Asthma symptoms cough", US_national_yearly!$D:$AM, 10, FALSE), 1)</f>
        <v>3.8777557019821951E-3</v>
      </c>
      <c r="I6" s="7">
        <f>$B6 * IFERROR(VLOOKUP("transport|NOx|Asthma symptoms cough", US_national_yearly!$D:$AM, 17, FALSE) / VLOOKUP("transport|NOx|Asthma symptoms cough", US_national_yearly!$D:$AM, 10, FALSE), 1)</f>
        <v>3.8912880144981324E-3</v>
      </c>
      <c r="J6" s="7">
        <f>$B6 * IFERROR(VLOOKUP("transport|NOx|Asthma symptoms cough", US_national_yearly!$D:$AM, 18, FALSE) / VLOOKUP("transport|NOx|Asthma symptoms cough", US_national_yearly!$D:$AM, 10, FALSE), 1)</f>
        <v>3.9048203270140702E-3</v>
      </c>
      <c r="K6" s="7">
        <f>$B6 * IFERROR(VLOOKUP("transport|NOx|Asthma symptoms cough", US_national_yearly!$D:$AM, 19, FALSE) / VLOOKUP("transport|NOx|Asthma symptoms cough", US_national_yearly!$D:$AM, 10, FALSE), 1)</f>
        <v>3.918352639530007E-3</v>
      </c>
      <c r="L6" s="7">
        <f>$B6 * IFERROR(VLOOKUP("transport|NOx|Asthma symptoms cough", US_national_yearly!$D:$AM, 20, FALSE) / VLOOKUP("transport|NOx|Asthma symptoms cough", US_national_yearly!$D:$AM, 10, FALSE), 1)</f>
        <v>3.9318849520459439E-3</v>
      </c>
      <c r="M6" s="7">
        <f>$B6 * IFERROR(VLOOKUP("transport|NOx|Asthma symptoms cough", US_national_yearly!$D:$AM, 21, FALSE) / VLOOKUP("transport|NOx|Asthma symptoms cough", US_national_yearly!$D:$AM, 10, FALSE), 1)</f>
        <v>3.9454172645618816E-3</v>
      </c>
      <c r="N6" s="7">
        <f>$B6 * IFERROR(VLOOKUP("transport|NOx|Asthma symptoms cough", US_national_yearly!$D:$AM, 22, FALSE) / VLOOKUP("transport|NOx|Asthma symptoms cough", US_national_yearly!$D:$AM, 10, FALSE), 1)</f>
        <v>3.9611089886384754E-3</v>
      </c>
      <c r="O6" s="7">
        <f>$B6 * IFERROR(VLOOKUP("transport|NOx|Asthma symptoms cough", US_national_yearly!$D:$AM, 23, FALSE) / VLOOKUP("transport|NOx|Asthma symptoms cough", US_national_yearly!$D:$AM, 10, FALSE), 1)</f>
        <v>3.9768007127150692E-3</v>
      </c>
      <c r="P6" s="7">
        <f>$B6 * IFERROR(VLOOKUP("transport|NOx|Asthma symptoms cough", US_national_yearly!$D:$AM, 24, FALSE) / VLOOKUP("transport|NOx|Asthma symptoms cough", US_national_yearly!$D:$AM, 10, FALSE), 1)</f>
        <v>3.992492436791663E-3</v>
      </c>
      <c r="Q6" s="7">
        <f>$B6 * IFERROR(VLOOKUP("transport|NOx|Asthma symptoms cough", US_national_yearly!$D:$AM, 25, FALSE) / VLOOKUP("transport|NOx|Asthma symptoms cough", US_national_yearly!$D:$AM, 10, FALSE), 1)</f>
        <v>4.0081841608682577E-3</v>
      </c>
      <c r="R6" s="7">
        <f>$B6 * IFERROR(VLOOKUP("transport|NOx|Asthma symptoms cough", US_national_yearly!$D:$AM, 26, FALSE) / VLOOKUP("transport|NOx|Asthma symptoms cough", US_national_yearly!$D:$AM, 10, FALSE), 1)</f>
        <v>4.0238758849448523E-3</v>
      </c>
      <c r="S6" s="7">
        <f>$B6 * IFERROR(VLOOKUP("transport|NOx|Asthma symptoms cough", US_national_yearly!$D:$AM, 27, FALSE) / VLOOKUP("transport|NOx|Asthma symptoms cough", US_national_yearly!$D:$AM, 10, FALSE), 1)</f>
        <v>4.0443742743659691E-3</v>
      </c>
      <c r="T6" s="7">
        <f>$B6 * IFERROR(VLOOKUP("transport|NOx|Asthma symptoms cough", US_national_yearly!$D:$AM, 28, FALSE) / VLOOKUP("transport|NOx|Asthma symptoms cough", US_national_yearly!$D:$AM, 10, FALSE), 1)</f>
        <v>4.0648726637870849E-3</v>
      </c>
      <c r="U6" s="7">
        <f>$B6 * IFERROR(VLOOKUP("transport|NOx|Asthma symptoms cough", US_national_yearly!$D:$AM, 29, FALSE) / VLOOKUP("transport|NOx|Asthma symptoms cough", US_national_yearly!$D:$AM, 10, FALSE), 1)</f>
        <v>4.0853710532082E-3</v>
      </c>
      <c r="V6" s="7">
        <f>$B6 * IFERROR(VLOOKUP("transport|NOx|Asthma symptoms cough", US_national_yearly!$D:$AM, 30, FALSE) / VLOOKUP("transport|NOx|Asthma symptoms cough", US_national_yearly!$D:$AM, 10, FALSE), 1)</f>
        <v>4.1058694426293176E-3</v>
      </c>
      <c r="W6" s="7">
        <f>$B6 * IFERROR(VLOOKUP("transport|NOx|Asthma symptoms cough", US_national_yearly!$D:$AM, 31, FALSE) / VLOOKUP("transport|NOx|Asthma symptoms cough", US_national_yearly!$D:$AM, 10, FALSE), 1)</f>
        <v>4.1263678320504335E-3</v>
      </c>
      <c r="X6" s="7">
        <f>$B6 * IFERROR(VLOOKUP("transport|NOx|Asthma symptoms cough", US_national_yearly!$D:$AM, 32, FALSE) / VLOOKUP("transport|NOx|Asthma symptoms cough", US_national_yearly!$D:$AM, 10, FALSE), 1)</f>
        <v>4.1454137811449609E-3</v>
      </c>
      <c r="Y6" s="7">
        <f>$B6 * IFERROR(VLOOKUP("transport|NOx|Asthma symptoms cough", US_national_yearly!$D:$AM, 33, FALSE) / VLOOKUP("transport|NOx|Asthma symptoms cough", US_national_yearly!$D:$AM, 10, FALSE), 1)</f>
        <v>4.1644597302394892E-3</v>
      </c>
      <c r="Z6" s="7">
        <f>$B6 * IFERROR(VLOOKUP("transport|NOx|Asthma symptoms cough", US_national_yearly!$D:$AM, 34, FALSE) / VLOOKUP("transport|NOx|Asthma symptoms cough", US_national_yearly!$D:$AM, 10, FALSE), 1)</f>
        <v>4.1835056793340167E-3</v>
      </c>
      <c r="AA6" s="7">
        <f>$B6 * IFERROR(VLOOKUP("transport|NOx|Asthma symptoms cough", US_national_yearly!$D:$AM, 35, FALSE) / VLOOKUP("transport|NOx|Asthma symptoms cough", US_national_yearly!$D:$AM, 10, FALSE), 1)</f>
        <v>4.2025516284285441E-3</v>
      </c>
      <c r="AB6" s="7">
        <f>$B6 * IFERROR(VLOOKUP("transport|NOx|Asthma symptoms cough", US_national_yearly!$D:$AM, 36, FALSE) / VLOOKUP("transport|NOx|Asthma symptoms cough", US_national_yearly!$D:$AM, 10, FALSE), 1)</f>
        <v>4.2215975775230733E-3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4.8506048424684072E-3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4.916920541038065E-3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4.9832362396077228E-3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5.0495519381773806E-3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5.1158676367470384E-3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5.1688114550161139E-3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5.2217552732851885E-3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5.2399777785710174E-3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5.2582002838568471E-3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5.2764227891426759E-3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5.2946452944285056E-3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5.3128677997143344E-3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5.3339981516449964E-3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5.3551285035756584E-3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5.3762588555063195E-3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5.3973892074369815E-3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5.4185195593676435E-3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5.4461225290336635E-3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5.4737254986996844E-3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5.5013284683657045E-3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5.5289314380317237E-3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5.5565344076977437E-3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5.582181532648391E-3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5.6078286575990391E-3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5.633475782549688E-3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5.6591229075003361E-3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5.6847700324509833E-3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7.4115825407143378E-3</v>
      </c>
      <c r="C8" s="7">
        <f>$B8 * IFERROR(VLOOKUP("transport|NOx|Asthma symptoms wheeze", US_national_yearly!$D:$AM, 11, FALSE) / VLOOKUP("transport|NOx|Asthma symptoms wheeze", US_national_yearly!$D:$AM, 10, FALSE), 1)</f>
        <v>7.5129109916434187E-3</v>
      </c>
      <c r="D8" s="7">
        <f>$B8 * IFERROR(VLOOKUP("transport|NOx|Asthma symptoms wheeze", US_national_yearly!$D:$AM, 12, FALSE) / VLOOKUP("transport|NOx|Asthma symptoms wheeze", US_national_yearly!$D:$AM, 10, FALSE), 1)</f>
        <v>7.6142394425725022E-3</v>
      </c>
      <c r="E8" s="7">
        <f>$B8 * IFERROR(VLOOKUP("transport|NOx|Asthma symptoms wheeze", US_national_yearly!$D:$AM, 13, FALSE) / VLOOKUP("transport|NOx|Asthma symptoms wheeze", US_national_yearly!$D:$AM, 10, FALSE), 1)</f>
        <v>7.715567893501583E-3</v>
      </c>
      <c r="F8" s="7">
        <f>$B8 * IFERROR(VLOOKUP("transport|NOx|Asthma symptoms wheeze", US_national_yearly!$D:$AM, 14, FALSE) / VLOOKUP("transport|NOx|Asthma symptoms wheeze", US_national_yearly!$D:$AM, 10, FALSE), 1)</f>
        <v>7.8168963444306631E-3</v>
      </c>
      <c r="G8" s="7">
        <f>$B8 * IFERROR(VLOOKUP("transport|NOx|Asthma symptoms wheeze", US_national_yearly!$D:$AM, 15, FALSE) / VLOOKUP("transport|NOx|Asthma symptoms wheeze", US_national_yearly!$D:$AM, 10, FALSE), 1)</f>
        <v>7.8977929528634069E-3</v>
      </c>
      <c r="H8" s="7">
        <f>$B8 * IFERROR(VLOOKUP("transport|NOx|Asthma symptoms wheeze", US_national_yearly!$D:$AM, 16, FALSE) / VLOOKUP("transport|NOx|Asthma symptoms wheeze", US_national_yearly!$D:$AM, 10, FALSE), 1)</f>
        <v>7.9786895612961508E-3</v>
      </c>
      <c r="I8" s="7">
        <f>$B8 * IFERROR(VLOOKUP("transport|NOx|Asthma symptoms wheeze", US_national_yearly!$D:$AM, 17, FALSE) / VLOOKUP("transport|NOx|Asthma symptoms wheeze", US_national_yearly!$D:$AM, 10, FALSE), 1)</f>
        <v>8.0065330175437387E-3</v>
      </c>
      <c r="J8" s="7">
        <f>$B8 * IFERROR(VLOOKUP("transport|NOx|Asthma symptoms wheeze", US_national_yearly!$D:$AM, 18, FALSE) / VLOOKUP("transport|NOx|Asthma symptoms wheeze", US_national_yearly!$D:$AM, 10, FALSE), 1)</f>
        <v>8.0343764737913284E-3</v>
      </c>
      <c r="K8" s="7">
        <f>$B8 * IFERROR(VLOOKUP("transport|NOx|Asthma symptoms wheeze", US_national_yearly!$D:$AM, 19, FALSE) / VLOOKUP("transport|NOx|Asthma symptoms wheeze", US_national_yearly!$D:$AM, 10, FALSE), 1)</f>
        <v>8.0622199300389146E-3</v>
      </c>
      <c r="L8" s="7">
        <f>$B8 * IFERROR(VLOOKUP("transport|NOx|Asthma symptoms wheeze", US_national_yearly!$D:$AM, 20, FALSE) / VLOOKUP("transport|NOx|Asthma symptoms wheeze", US_national_yearly!$D:$AM, 10, FALSE), 1)</f>
        <v>8.0900633862865043E-3</v>
      </c>
      <c r="M8" s="7">
        <f>$B8 * IFERROR(VLOOKUP("transport|NOx|Asthma symptoms wheeze", US_national_yearly!$D:$AM, 21, FALSE) / VLOOKUP("transport|NOx|Asthma symptoms wheeze", US_national_yearly!$D:$AM, 10, FALSE), 1)</f>
        <v>8.1179068425340922E-3</v>
      </c>
      <c r="N8" s="7">
        <f>$B8 * IFERROR(VLOOKUP("transport|NOx|Asthma symptoms wheeze", US_national_yearly!$D:$AM, 22, FALSE) / VLOOKUP("transport|NOx|Asthma symptoms wheeze", US_national_yearly!$D:$AM, 10, FALSE), 1)</f>
        <v>8.1501934034922171E-3</v>
      </c>
      <c r="O8" s="7">
        <f>$B8 * IFERROR(VLOOKUP("transport|NOx|Asthma symptoms wheeze", US_national_yearly!$D:$AM, 23, FALSE) / VLOOKUP("transport|NOx|Asthma symptoms wheeze", US_national_yearly!$D:$AM, 10, FALSE), 1)</f>
        <v>8.182479964450342E-3</v>
      </c>
      <c r="P8" s="7">
        <f>$B8 * IFERROR(VLOOKUP("transport|NOx|Asthma symptoms wheeze", US_national_yearly!$D:$AM, 24, FALSE) / VLOOKUP("transport|NOx|Asthma symptoms wheeze", US_national_yearly!$D:$AM, 10, FALSE), 1)</f>
        <v>8.2147665254084668E-3</v>
      </c>
      <c r="Q8" s="7">
        <f>$B8 * IFERROR(VLOOKUP("transport|NOx|Asthma symptoms wheeze", US_national_yearly!$D:$AM, 25, FALSE) / VLOOKUP("transport|NOx|Asthma symptoms wheeze", US_national_yearly!$D:$AM, 10, FALSE), 1)</f>
        <v>8.2470530863665934E-3</v>
      </c>
      <c r="R8" s="7">
        <f>$B8 * IFERROR(VLOOKUP("transport|NOx|Asthma symptoms wheeze", US_national_yearly!$D:$AM, 26, FALSE) / VLOOKUP("transport|NOx|Asthma symptoms wheeze", US_national_yearly!$D:$AM, 10, FALSE), 1)</f>
        <v>8.2793396473247165E-3</v>
      </c>
      <c r="S8" s="7">
        <f>$B8 * IFERROR(VLOOKUP("transport|NOx|Asthma symptoms wheeze", US_national_yearly!$D:$AM, 27, FALSE) / VLOOKUP("transport|NOx|Asthma symptoms wheeze", US_national_yearly!$D:$AM, 10, FALSE), 1)</f>
        <v>8.32151617910451E-3</v>
      </c>
      <c r="T8" s="7">
        <f>$B8 * IFERROR(VLOOKUP("transport|NOx|Asthma symptoms wheeze", US_national_yearly!$D:$AM, 28, FALSE) / VLOOKUP("transport|NOx|Asthma symptoms wheeze", US_national_yearly!$D:$AM, 10, FALSE), 1)</f>
        <v>8.3636927108843035E-3</v>
      </c>
      <c r="U8" s="7">
        <f>$B8 * IFERROR(VLOOKUP("transport|NOx|Asthma symptoms wheeze", US_national_yearly!$D:$AM, 29, FALSE) / VLOOKUP("transport|NOx|Asthma symptoms wheeze", US_national_yearly!$D:$AM, 10, FALSE), 1)</f>
        <v>8.405869242664097E-3</v>
      </c>
      <c r="V8" s="7">
        <f>$B8 * IFERROR(VLOOKUP("transport|NOx|Asthma symptoms wheeze", US_national_yearly!$D:$AM, 30, FALSE) / VLOOKUP("transport|NOx|Asthma symptoms wheeze", US_national_yearly!$D:$AM, 10, FALSE), 1)</f>
        <v>8.4480457744438905E-3</v>
      </c>
      <c r="W8" s="7">
        <f>$B8 * IFERROR(VLOOKUP("transport|NOx|Asthma symptoms wheeze", US_national_yearly!$D:$AM, 31, FALSE) / VLOOKUP("transport|NOx|Asthma symptoms wheeze", US_national_yearly!$D:$AM, 10, FALSE), 1)</f>
        <v>8.4902223062236822E-3</v>
      </c>
      <c r="X8" s="7">
        <f>$B8 * IFERROR(VLOOKUP("transport|NOx|Asthma symptoms wheeze", US_national_yearly!$D:$AM, 32, FALSE) / VLOOKUP("transport|NOx|Asthma symptoms wheeze", US_national_yearly!$D:$AM, 10, FALSE), 1)</f>
        <v>8.5294103643918651E-3</v>
      </c>
      <c r="Y8" s="7">
        <f>$B8 * IFERROR(VLOOKUP("transport|NOx|Asthma symptoms wheeze", US_national_yearly!$D:$AM, 33, FALSE) / VLOOKUP("transport|NOx|Asthma symptoms wheeze", US_national_yearly!$D:$AM, 10, FALSE), 1)</f>
        <v>8.5685984225600444E-3</v>
      </c>
      <c r="Z8" s="7">
        <f>$B8 * IFERROR(VLOOKUP("transport|NOx|Asthma symptoms wheeze", US_national_yearly!$D:$AM, 34, FALSE) / VLOOKUP("transport|NOx|Asthma symptoms wheeze", US_national_yearly!$D:$AM, 10, FALSE), 1)</f>
        <v>8.6077864807282273E-3</v>
      </c>
      <c r="AA8" s="7">
        <f>$B8 * IFERROR(VLOOKUP("transport|NOx|Asthma symptoms wheeze", US_national_yearly!$D:$AM, 35, FALSE) / VLOOKUP("transport|NOx|Asthma symptoms wheeze", US_national_yearly!$D:$AM, 10, FALSE), 1)</f>
        <v>8.6469745388964084E-3</v>
      </c>
      <c r="AB8" s="7">
        <f>$B8 * IFERROR(VLOOKUP("transport|NOx|Asthma symptoms wheeze", US_national_yearly!$D:$AM, 36, FALSE) / VLOOKUP("transport|NOx|Asthma symptoms wheeze", US_national_yearly!$D:$AM, 10, FALSE), 1)</f>
        <v>8.6861625970645895E-3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8.9451683151618941E-5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9.1683025394918613E-5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9.3914367638218299E-5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9.6145709881517984E-5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9.837705212481767E-5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1.0051029125526189E-4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1.026435303857061E-4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1.0445469426241161E-4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1.062658581391171E-4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1.0807702201582261E-4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1.0988818589252811E-4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1.1169934976923363E-4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1.1291014543001875E-4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1.1412094109080393E-4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1.153317367515891E-4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1.1654253241237426E-4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1.1775332807315943E-4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1.1840203957944605E-4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1.1905075108573268E-4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1.1969946259201932E-4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1.2034817409830592E-4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1.2099688560459257E-4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1.2144019564082082E-4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1.2188350567704909E-4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1.2232681571327735E-4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1.2277012574950561E-4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1.2321343578573386E-4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5.7971488000630486E-4</v>
      </c>
      <c r="C13" s="7">
        <f>$B13 * IFERROR(VLOOKUP("transport|NOx|Non-fatal heart attacks", US_national_yearly!$D:$AM, 11, FALSE) / VLOOKUP("transport|NOx|Non-fatal heart attacks", US_national_yearly!$D:$AM, 10, FALSE), 1)</f>
        <v>5.9628841766428808E-4</v>
      </c>
      <c r="D13" s="7">
        <f>$B13 * IFERROR(VLOOKUP("transport|NOx|Non-fatal heart attacks", US_national_yearly!$D:$AM, 12, FALSE) / VLOOKUP("transport|NOx|Non-fatal heart attacks", US_national_yearly!$D:$AM, 10, FALSE), 1)</f>
        <v>6.1286195532227129E-4</v>
      </c>
      <c r="E13" s="7">
        <f>$B13 * IFERROR(VLOOKUP("transport|NOx|Non-fatal heart attacks", US_national_yearly!$D:$AM, 13, FALSE) / VLOOKUP("transport|NOx|Non-fatal heart attacks", US_national_yearly!$D:$AM, 10, FALSE), 1)</f>
        <v>6.294354929802544E-4</v>
      </c>
      <c r="F13" s="7">
        <f>$B13 * IFERROR(VLOOKUP("transport|NOx|Non-fatal heart attacks", US_national_yearly!$D:$AM, 14, FALSE) / VLOOKUP("transport|NOx|Non-fatal heart attacks", US_national_yearly!$D:$AM, 10, FALSE), 1)</f>
        <v>6.4600903063823762E-4</v>
      </c>
      <c r="G13" s="7">
        <f>$B13 * IFERROR(VLOOKUP("transport|NOx|Non-fatal heart attacks", US_national_yearly!$D:$AM, 15, FALSE) / VLOOKUP("transport|NOx|Non-fatal heart attacks", US_national_yearly!$D:$AM, 10, FALSE), 1)</f>
        <v>6.6149696713405863E-4</v>
      </c>
      <c r="H13" s="7">
        <f>$B13 * IFERROR(VLOOKUP("transport|NOx|Non-fatal heart attacks", US_national_yearly!$D:$AM, 16, FALSE) / VLOOKUP("transport|NOx|Non-fatal heart attacks", US_national_yearly!$D:$AM, 10, FALSE), 1)</f>
        <v>6.7698490362987974E-4</v>
      </c>
      <c r="I13" s="7">
        <f>$B13 * IFERROR(VLOOKUP("transport|NOx|Non-fatal heart attacks", US_national_yearly!$D:$AM, 17, FALSE) / VLOOKUP("transport|NOx|Non-fatal heart attacks", US_national_yearly!$D:$AM, 10, FALSE), 1)</f>
        <v>6.8919537111664922E-4</v>
      </c>
      <c r="J13" s="7">
        <f>$B13 * IFERROR(VLOOKUP("transport|NOx|Non-fatal heart attacks", US_national_yearly!$D:$AM, 18, FALSE) / VLOOKUP("transport|NOx|Non-fatal heart attacks", US_national_yearly!$D:$AM, 10, FALSE), 1)</f>
        <v>7.014058386034188E-4</v>
      </c>
      <c r="K13" s="7">
        <f>$B13 * IFERROR(VLOOKUP("transport|NOx|Non-fatal heart attacks", US_national_yearly!$D:$AM, 19, FALSE) / VLOOKUP("transport|NOx|Non-fatal heart attacks", US_national_yearly!$D:$AM, 10, FALSE), 1)</f>
        <v>7.1361630609018784E-4</v>
      </c>
      <c r="L13" s="7">
        <f>$B13 * IFERROR(VLOOKUP("transport|NOx|Non-fatal heart attacks", US_national_yearly!$D:$AM, 20, FALSE) / VLOOKUP("transport|NOx|Non-fatal heart attacks", US_national_yearly!$D:$AM, 10, FALSE), 1)</f>
        <v>7.2582677357695786E-4</v>
      </c>
      <c r="M13" s="7">
        <f>$B13 * IFERROR(VLOOKUP("transport|NOx|Non-fatal heart attacks", US_national_yearly!$D:$AM, 21, FALSE) / VLOOKUP("transport|NOx|Non-fatal heart attacks", US_national_yearly!$D:$AM, 10, FALSE), 1)</f>
        <v>7.3803724106372723E-4</v>
      </c>
      <c r="N13" s="7">
        <f>$B13 * IFERROR(VLOOKUP("transport|NOx|Non-fatal heart attacks", US_national_yearly!$D:$AM, 22, FALSE) / VLOOKUP("transport|NOx|Non-fatal heart attacks", US_national_yearly!$D:$AM, 10, FALSE), 1)</f>
        <v>7.4538342860545914E-4</v>
      </c>
      <c r="O13" s="7">
        <f>$B13 * IFERROR(VLOOKUP("transport|NOx|Non-fatal heart attacks", US_national_yearly!$D:$AM, 23, FALSE) / VLOOKUP("transport|NOx|Non-fatal heart attacks", US_national_yearly!$D:$AM, 10, FALSE), 1)</f>
        <v>7.5272961614719115E-4</v>
      </c>
      <c r="P13" s="7">
        <f>$B13 * IFERROR(VLOOKUP("transport|NOx|Non-fatal heart attacks", US_national_yearly!$D:$AM, 24, FALSE) / VLOOKUP("transport|NOx|Non-fatal heart attacks", US_national_yearly!$D:$AM, 10, FALSE), 1)</f>
        <v>7.6007580368892295E-4</v>
      </c>
      <c r="Q13" s="7">
        <f>$B13 * IFERROR(VLOOKUP("transport|NOx|Non-fatal heart attacks", US_national_yearly!$D:$AM, 25, FALSE) / VLOOKUP("transport|NOx|Non-fatal heart attacks", US_national_yearly!$D:$AM, 10, FALSE), 1)</f>
        <v>7.6742199123065508E-4</v>
      </c>
      <c r="R13" s="7">
        <f>$B13 * IFERROR(VLOOKUP("transport|NOx|Non-fatal heart attacks", US_national_yearly!$D:$AM, 26, FALSE) / VLOOKUP("transport|NOx|Non-fatal heart attacks", US_national_yearly!$D:$AM, 10, FALSE), 1)</f>
        <v>7.7476817877238709E-4</v>
      </c>
      <c r="S13" s="7">
        <f>$B13 * IFERROR(VLOOKUP("transport|NOx|Non-fatal heart attacks", US_national_yearly!$D:$AM, 27, FALSE) / VLOOKUP("transport|NOx|Non-fatal heart attacks", US_national_yearly!$D:$AM, 10, FALSE), 1)</f>
        <v>7.7810046025028254E-4</v>
      </c>
      <c r="T13" s="7">
        <f>$B13 * IFERROR(VLOOKUP("transport|NOx|Non-fatal heart attacks", US_national_yearly!$D:$AM, 28, FALSE) / VLOOKUP("transport|NOx|Non-fatal heart attacks", US_national_yearly!$D:$AM, 10, FALSE), 1)</f>
        <v>7.814327417281781E-4</v>
      </c>
      <c r="U13" s="7">
        <f>$B13 * IFERROR(VLOOKUP("transport|NOx|Non-fatal heart attacks", US_national_yearly!$D:$AM, 29, FALSE) / VLOOKUP("transport|NOx|Non-fatal heart attacks", US_national_yearly!$D:$AM, 10, FALSE), 1)</f>
        <v>7.8476502320607366E-4</v>
      </c>
      <c r="V13" s="7">
        <f>$B13 * IFERROR(VLOOKUP("transport|NOx|Non-fatal heart attacks", US_national_yearly!$D:$AM, 30, FALSE) / VLOOKUP("transport|NOx|Non-fatal heart attacks", US_national_yearly!$D:$AM, 10, FALSE), 1)</f>
        <v>7.8809730468396922E-4</v>
      </c>
      <c r="W13" s="7">
        <f>$B13 * IFERROR(VLOOKUP("transport|NOx|Non-fatal heart attacks", US_national_yearly!$D:$AM, 31, FALSE) / VLOOKUP("transport|NOx|Non-fatal heart attacks", US_national_yearly!$D:$AM, 10, FALSE), 1)</f>
        <v>7.9142958616186467E-4</v>
      </c>
      <c r="X13" s="7">
        <f>$B13 * IFERROR(VLOOKUP("transport|NOx|Non-fatal heart attacks", US_national_yearly!$D:$AM, 32, FALSE) / VLOOKUP("transport|NOx|Non-fatal heart attacks", US_national_yearly!$D:$AM, 10, FALSE), 1)</f>
        <v>7.9365639198408278E-4</v>
      </c>
      <c r="Y13" s="7">
        <f>$B13 * IFERROR(VLOOKUP("transport|NOx|Non-fatal heart attacks", US_national_yearly!$D:$AM, 33, FALSE) / VLOOKUP("transport|NOx|Non-fatal heart attacks", US_national_yearly!$D:$AM, 10, FALSE), 1)</f>
        <v>7.958831978063009E-4</v>
      </c>
      <c r="Z13" s="7">
        <f>$B13 * IFERROR(VLOOKUP("transport|NOx|Non-fatal heart attacks", US_national_yearly!$D:$AM, 34, FALSE) / VLOOKUP("transport|NOx|Non-fatal heart attacks", US_national_yearly!$D:$AM, 10, FALSE), 1)</f>
        <v>7.981100036285188E-4</v>
      </c>
      <c r="AA13" s="7">
        <f>$B13 * IFERROR(VLOOKUP("transport|NOx|Non-fatal heart attacks", US_national_yearly!$D:$AM, 35, FALSE) / VLOOKUP("transport|NOx|Non-fatal heart attacks", US_national_yearly!$D:$AM, 10, FALSE), 1)</f>
        <v>8.0033680945073692E-4</v>
      </c>
      <c r="AB13" s="7">
        <f>$B13 * IFERROR(VLOOKUP("transport|NOx|Non-fatal heart attacks", US_national_yearly!$D:$AM, 36, FALSE) / VLOOKUP("transport|NOx|Non-fatal heart attacks", US_national_yearly!$D:$AM, 10, FALSE), 1)</f>
        <v>8.0256361527295504E-4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0.45608672802007505</v>
      </c>
      <c r="C14" s="7">
        <f>$B14 * IFERROR(VLOOKUP("transport|NOx|Minor restricted activity days", US_national_yearly!$D:$AM, 11, FALSE) / VLOOKUP("transport|NOx|Minor restricted activity days", US_national_yearly!$D:$AM, 10, FALSE), 1)</f>
        <v>0.4567859855139762</v>
      </c>
      <c r="D14" s="7">
        <f>$B14 * IFERROR(VLOOKUP("transport|NOx|Minor restricted activity days", US_national_yearly!$D:$AM, 12, FALSE) / VLOOKUP("transport|NOx|Minor restricted activity days", US_national_yearly!$D:$AM, 10, FALSE), 1)</f>
        <v>0.45748524300787741</v>
      </c>
      <c r="E14" s="7">
        <f>$B14 * IFERROR(VLOOKUP("transport|NOx|Minor restricted activity days", US_national_yearly!$D:$AM, 13, FALSE) / VLOOKUP("transport|NOx|Minor restricted activity days", US_national_yearly!$D:$AM, 10, FALSE), 1)</f>
        <v>0.45818450050177867</v>
      </c>
      <c r="F14" s="7">
        <f>$B14 * IFERROR(VLOOKUP("transport|NOx|Minor restricted activity days", US_national_yearly!$D:$AM, 14, FALSE) / VLOOKUP("transport|NOx|Minor restricted activity days", US_national_yearly!$D:$AM, 10, FALSE), 1)</f>
        <v>0.45888375799567982</v>
      </c>
      <c r="G14" s="7">
        <f>$B14 * IFERROR(VLOOKUP("transport|NOx|Minor restricted activity days", US_national_yearly!$D:$AM, 15, FALSE) / VLOOKUP("transport|NOx|Minor restricted activity days", US_national_yearly!$D:$AM, 10, FALSE), 1)</f>
        <v>0.46014645059208004</v>
      </c>
      <c r="H14" s="7">
        <f>$B14 * IFERROR(VLOOKUP("transport|NOx|Minor restricted activity days", US_national_yearly!$D:$AM, 16, FALSE) / VLOOKUP("transport|NOx|Minor restricted activity days", US_national_yearly!$D:$AM, 10, FALSE), 1)</f>
        <v>0.46140914318848014</v>
      </c>
      <c r="I14" s="7">
        <f>$B14 * IFERROR(VLOOKUP("transport|NOx|Minor restricted activity days", US_national_yearly!$D:$AM, 17, FALSE) / VLOOKUP("transport|NOx|Minor restricted activity days", US_national_yearly!$D:$AM, 10, FALSE), 1)</f>
        <v>0.46387891997500696</v>
      </c>
      <c r="J14" s="7">
        <f>$B14 * IFERROR(VLOOKUP("transport|NOx|Minor restricted activity days", US_national_yearly!$D:$AM, 18, FALSE) / VLOOKUP("transport|NOx|Minor restricted activity days", US_national_yearly!$D:$AM, 10, FALSE), 1)</f>
        <v>0.46634869676153368</v>
      </c>
      <c r="K14" s="7">
        <f>$B14 * IFERROR(VLOOKUP("transport|NOx|Minor restricted activity days", US_national_yearly!$D:$AM, 19, FALSE) / VLOOKUP("transport|NOx|Minor restricted activity days", US_national_yearly!$D:$AM, 10, FALSE), 1)</f>
        <v>0.4688184735480605</v>
      </c>
      <c r="L14" s="7">
        <f>$B14 * IFERROR(VLOOKUP("transport|NOx|Minor restricted activity days", US_national_yearly!$D:$AM, 20, FALSE) / VLOOKUP("transport|NOx|Minor restricted activity days", US_national_yearly!$D:$AM, 10, FALSE), 1)</f>
        <v>0.47128825033458721</v>
      </c>
      <c r="M14" s="7">
        <f>$B14 * IFERROR(VLOOKUP("transport|NOx|Minor restricted activity days", US_national_yearly!$D:$AM, 21, FALSE) / VLOOKUP("transport|NOx|Minor restricted activity days", US_national_yearly!$D:$AM, 10, FALSE), 1)</f>
        <v>0.47375802712111398</v>
      </c>
      <c r="N14" s="7">
        <f>$B14 * IFERROR(VLOOKUP("transport|NOx|Minor restricted activity days", US_national_yearly!$D:$AM, 22, FALSE) / VLOOKUP("transport|NOx|Minor restricted activity days", US_national_yearly!$D:$AM, 10, FALSE), 1)</f>
        <v>0.47729418746966351</v>
      </c>
      <c r="O14" s="7">
        <f>$B14 * IFERROR(VLOOKUP("transport|NOx|Minor restricted activity days", US_national_yearly!$D:$AM, 23, FALSE) / VLOOKUP("transport|NOx|Minor restricted activity days", US_national_yearly!$D:$AM, 10, FALSE), 1)</f>
        <v>0.48083034781821304</v>
      </c>
      <c r="P14" s="7">
        <f>$B14 * IFERROR(VLOOKUP("transport|NOx|Minor restricted activity days", US_national_yearly!$D:$AM, 24, FALSE) / VLOOKUP("transport|NOx|Minor restricted activity days", US_national_yearly!$D:$AM, 10, FALSE), 1)</f>
        <v>0.48436650816676252</v>
      </c>
      <c r="Q14" s="7">
        <f>$B14 * IFERROR(VLOOKUP("transport|NOx|Minor restricted activity days", US_national_yearly!$D:$AM, 25, FALSE) / VLOOKUP("transport|NOx|Minor restricted activity days", US_national_yearly!$D:$AM, 10, FALSE), 1)</f>
        <v>0.48790266851531205</v>
      </c>
      <c r="R14" s="7">
        <f>$B14 * IFERROR(VLOOKUP("transport|NOx|Minor restricted activity days", US_national_yearly!$D:$AM, 26, FALSE) / VLOOKUP("transport|NOx|Minor restricted activity days", US_national_yearly!$D:$AM, 10, FALSE), 1)</f>
        <v>0.49143882886386153</v>
      </c>
      <c r="S14" s="7">
        <f>$B14 * IFERROR(VLOOKUP("transport|NOx|Minor restricted activity days", US_national_yearly!$D:$AM, 27, FALSE) / VLOOKUP("transport|NOx|Minor restricted activity days", US_national_yearly!$D:$AM, 10, FALSE), 1)</f>
        <v>0.49497424574226639</v>
      </c>
      <c r="T14" s="7">
        <f>$B14 * IFERROR(VLOOKUP("transport|NOx|Minor restricted activity days", US_national_yearly!$D:$AM, 28, FALSE) / VLOOKUP("transport|NOx|Minor restricted activity days", US_national_yearly!$D:$AM, 10, FALSE), 1)</f>
        <v>0.49850966262067109</v>
      </c>
      <c r="U14" s="7">
        <f>$B14 * IFERROR(VLOOKUP("transport|NOx|Minor restricted activity days", US_national_yearly!$D:$AM, 29, FALSE) / VLOOKUP("transport|NOx|Minor restricted activity days", US_national_yearly!$D:$AM, 10, FALSE), 1)</f>
        <v>0.50204507949907595</v>
      </c>
      <c r="V14" s="7">
        <f>$B14 * IFERROR(VLOOKUP("transport|NOx|Minor restricted activity days", US_national_yearly!$D:$AM, 30, FALSE) / VLOOKUP("transport|NOx|Minor restricted activity days", US_national_yearly!$D:$AM, 10, FALSE), 1)</f>
        <v>0.50558049637748081</v>
      </c>
      <c r="W14" s="7">
        <f>$B14 * IFERROR(VLOOKUP("transport|NOx|Minor restricted activity days", US_national_yearly!$D:$AM, 31, FALSE) / VLOOKUP("transport|NOx|Minor restricted activity days", US_national_yearly!$D:$AM, 10, FALSE), 1)</f>
        <v>0.50911591325588545</v>
      </c>
      <c r="X14" s="7">
        <f>$B14 * IFERROR(VLOOKUP("transport|NOx|Minor restricted activity days", US_national_yearly!$D:$AM, 32, FALSE) / VLOOKUP("transport|NOx|Minor restricted activity days", US_national_yearly!$D:$AM, 10, FALSE), 1)</f>
        <v>0.51210497354193685</v>
      </c>
      <c r="Y14" s="7">
        <f>$B14 * IFERROR(VLOOKUP("transport|NOx|Minor restricted activity days", US_national_yearly!$D:$AM, 33, FALSE) / VLOOKUP("transport|NOx|Minor restricted activity days", US_national_yearly!$D:$AM, 10, FALSE), 1)</f>
        <v>0.51509403382798824</v>
      </c>
      <c r="Z14" s="7">
        <f>$B14 * IFERROR(VLOOKUP("transport|NOx|Minor restricted activity days", US_national_yearly!$D:$AM, 34, FALSE) / VLOOKUP("transport|NOx|Minor restricted activity days", US_national_yearly!$D:$AM, 10, FALSE), 1)</f>
        <v>0.51808309411403952</v>
      </c>
      <c r="AA14" s="7">
        <f>$B14 * IFERROR(VLOOKUP("transport|NOx|Minor restricted activity days", US_national_yearly!$D:$AM, 35, FALSE) / VLOOKUP("transport|NOx|Minor restricted activity days", US_national_yearly!$D:$AM, 10, FALSE), 1)</f>
        <v>0.52107215440009091</v>
      </c>
      <c r="AB14" s="7">
        <f>$B14 * IFERROR(VLOOKUP("transport|NOx|Minor restricted activity days", US_national_yearly!$D:$AM, 36, FALSE) / VLOOKUP("transport|NOx|Minor restricted activity days", US_national_yearly!$D:$AM, 10, FALSE), 1)</f>
        <v>0.5240612146861422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7.7305859886378045E-2</v>
      </c>
      <c r="C15" s="7">
        <f>$B15 * IFERROR(VLOOKUP("transport|NOx|Work loss days", US_national_yearly!$D:$AM, 11, FALSE) / VLOOKUP("transport|NOx|Work loss days", US_national_yearly!$D:$AM, 10, FALSE), 1)</f>
        <v>7.747782261290273E-2</v>
      </c>
      <c r="D15" s="7">
        <f>$B15 * IFERROR(VLOOKUP("transport|NOx|Work loss days", US_national_yearly!$D:$AM, 12, FALSE) / VLOOKUP("transport|NOx|Work loss days", US_national_yearly!$D:$AM, 10, FALSE), 1)</f>
        <v>7.7649785339427443E-2</v>
      </c>
      <c r="E15" s="7">
        <f>$B15 * IFERROR(VLOOKUP("transport|NOx|Work loss days", US_national_yearly!$D:$AM, 13, FALSE) / VLOOKUP("transport|NOx|Work loss days", US_national_yearly!$D:$AM, 10, FALSE), 1)</f>
        <v>7.7821748065952129E-2</v>
      </c>
      <c r="F15" s="7">
        <f>$B15 * IFERROR(VLOOKUP("transport|NOx|Work loss days", US_national_yearly!$D:$AM, 14, FALSE) / VLOOKUP("transport|NOx|Work loss days", US_national_yearly!$D:$AM, 10, FALSE), 1)</f>
        <v>7.7993710792476842E-2</v>
      </c>
      <c r="G15" s="7">
        <f>$B15 * IFERROR(VLOOKUP("transport|NOx|Work loss days", US_national_yearly!$D:$AM, 15, FALSE) / VLOOKUP("transport|NOx|Work loss days", US_national_yearly!$D:$AM, 10, FALSE), 1)</f>
        <v>7.8244777840121293E-2</v>
      </c>
      <c r="H15" s="7">
        <f>$B15 * IFERROR(VLOOKUP("transport|NOx|Work loss days", US_national_yearly!$D:$AM, 16, FALSE) / VLOOKUP("transport|NOx|Work loss days", US_national_yearly!$D:$AM, 10, FALSE), 1)</f>
        <v>7.8495844887765787E-2</v>
      </c>
      <c r="I15" s="7">
        <f>$B15 * IFERROR(VLOOKUP("transport|NOx|Work loss days", US_national_yearly!$D:$AM, 17, FALSE) / VLOOKUP("transport|NOx|Work loss days", US_national_yearly!$D:$AM, 10, FALSE), 1)</f>
        <v>7.8902559898065702E-2</v>
      </c>
      <c r="J15" s="7">
        <f>$B15 * IFERROR(VLOOKUP("transport|NOx|Work loss days", US_national_yearly!$D:$AM, 18, FALSE) / VLOOKUP("transport|NOx|Work loss days", US_national_yearly!$D:$AM, 10, FALSE), 1)</f>
        <v>7.9309274908365632E-2</v>
      </c>
      <c r="K15" s="7">
        <f>$B15 * IFERROR(VLOOKUP("transport|NOx|Work loss days", US_national_yearly!$D:$AM, 19, FALSE) / VLOOKUP("transport|NOx|Work loss days", US_national_yearly!$D:$AM, 10, FALSE), 1)</f>
        <v>7.9715989918665547E-2</v>
      </c>
      <c r="L15" s="7">
        <f>$B15 * IFERROR(VLOOKUP("transport|NOx|Work loss days", US_national_yearly!$D:$AM, 20, FALSE) / VLOOKUP("transport|NOx|Work loss days", US_national_yearly!$D:$AM, 10, FALSE), 1)</f>
        <v>8.0122704928965463E-2</v>
      </c>
      <c r="M15" s="7">
        <f>$B15 * IFERROR(VLOOKUP("transport|NOx|Work loss days", US_national_yearly!$D:$AM, 21, FALSE) / VLOOKUP("transport|NOx|Work loss days", US_national_yearly!$D:$AM, 10, FALSE), 1)</f>
        <v>8.0529419939265393E-2</v>
      </c>
      <c r="N15" s="7">
        <f>$B15 * IFERROR(VLOOKUP("transport|NOx|Work loss days", US_national_yearly!$D:$AM, 22, FALSE) / VLOOKUP("transport|NOx|Work loss days", US_national_yearly!$D:$AM, 10, FALSE), 1)</f>
        <v>8.1058734568026036E-2</v>
      </c>
      <c r="O15" s="7">
        <f>$B15 * IFERROR(VLOOKUP("transport|NOx|Work loss days", US_national_yearly!$D:$AM, 23, FALSE) / VLOOKUP("transport|NOx|Work loss days", US_national_yearly!$D:$AM, 10, FALSE), 1)</f>
        <v>8.158804919678668E-2</v>
      </c>
      <c r="P15" s="7">
        <f>$B15 * IFERROR(VLOOKUP("transport|NOx|Work loss days", US_national_yearly!$D:$AM, 24, FALSE) / VLOOKUP("transport|NOx|Work loss days", US_national_yearly!$D:$AM, 10, FALSE), 1)</f>
        <v>8.2117363825547324E-2</v>
      </c>
      <c r="Q15" s="7">
        <f>$B15 * IFERROR(VLOOKUP("transport|NOx|Work loss days", US_national_yearly!$D:$AM, 25, FALSE) / VLOOKUP("transport|NOx|Work loss days", US_national_yearly!$D:$AM, 10, FALSE), 1)</f>
        <v>8.264667845430794E-2</v>
      </c>
      <c r="R15" s="7">
        <f>$B15 * IFERROR(VLOOKUP("transport|NOx|Work loss days", US_national_yearly!$D:$AM, 26, FALSE) / VLOOKUP("transport|NOx|Work loss days", US_national_yearly!$D:$AM, 10, FALSE), 1)</f>
        <v>8.3175993083068611E-2</v>
      </c>
      <c r="S15" s="7">
        <f>$B15 * IFERROR(VLOOKUP("transport|NOx|Work loss days", US_national_yearly!$D:$AM, 27, FALSE) / VLOOKUP("transport|NOx|Work loss days", US_national_yearly!$D:$AM, 10, FALSE), 1)</f>
        <v>8.376611121490718E-2</v>
      </c>
      <c r="T15" s="7">
        <f>$B15 * IFERROR(VLOOKUP("transport|NOx|Work loss days", US_national_yearly!$D:$AM, 28, FALSE) / VLOOKUP("transport|NOx|Work loss days", US_national_yearly!$D:$AM, 10, FALSE), 1)</f>
        <v>8.4356229346745762E-2</v>
      </c>
      <c r="U15" s="7">
        <f>$B15 * IFERROR(VLOOKUP("transport|NOx|Work loss days", US_national_yearly!$D:$AM, 29, FALSE) / VLOOKUP("transport|NOx|Work loss days", US_national_yearly!$D:$AM, 10, FALSE), 1)</f>
        <v>8.4946347478584316E-2</v>
      </c>
      <c r="V15" s="7">
        <f>$B15 * IFERROR(VLOOKUP("transport|NOx|Work loss days", US_national_yearly!$D:$AM, 30, FALSE) / VLOOKUP("transport|NOx|Work loss days", US_national_yearly!$D:$AM, 10, FALSE), 1)</f>
        <v>8.5536465610422885E-2</v>
      </c>
      <c r="W15" s="7">
        <f>$B15 * IFERROR(VLOOKUP("transport|NOx|Work loss days", US_national_yearly!$D:$AM, 31, FALSE) / VLOOKUP("transport|NOx|Work loss days", US_national_yearly!$D:$AM, 10, FALSE), 1)</f>
        <v>8.6126583742261467E-2</v>
      </c>
      <c r="X15" s="7">
        <f>$B15 * IFERROR(VLOOKUP("transport|NOx|Work loss days", US_national_yearly!$D:$AM, 32, FALSE) / VLOOKUP("transport|NOx|Work loss days", US_national_yearly!$D:$AM, 10, FALSE), 1)</f>
        <v>8.6638774817521996E-2</v>
      </c>
      <c r="Y15" s="7">
        <f>$B15 * IFERROR(VLOOKUP("transport|NOx|Work loss days", US_national_yearly!$D:$AM, 33, FALSE) / VLOOKUP("transport|NOx|Work loss days", US_national_yearly!$D:$AM, 10, FALSE), 1)</f>
        <v>8.7150965892782539E-2</v>
      </c>
      <c r="Z15" s="7">
        <f>$B15 * IFERROR(VLOOKUP("transport|NOx|Work loss days", US_national_yearly!$D:$AM, 34, FALSE) / VLOOKUP("transport|NOx|Work loss days", US_national_yearly!$D:$AM, 10, FALSE), 1)</f>
        <v>8.7663156968043068E-2</v>
      </c>
      <c r="AA15" s="7">
        <f>$B15 * IFERROR(VLOOKUP("transport|NOx|Work loss days", US_national_yearly!$D:$AM, 35, FALSE) / VLOOKUP("transport|NOx|Work loss days", US_national_yearly!$D:$AM, 10, FALSE), 1)</f>
        <v>8.8175348043303611E-2</v>
      </c>
      <c r="AB15" s="7">
        <f>$B15 * IFERROR(VLOOKUP("transport|NOx|Work loss days", US_national_yearly!$D:$AM, 36, FALSE) / VLOOKUP("transport|NOx|Work loss days", US_national_yearly!$D:$AM, 10, FALSE), 1)</f>
        <v>8.868753911856414E-2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1.4984457595480403E-4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1.5424770363395247E-4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1.5865083131310086E-4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1.6305395899224927E-4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1.6745708667139771E-4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1.7163932980111661E-4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1.758215729308355E-4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1.7933851676108257E-4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1.8285546059132964E-4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1.8637240442157668E-4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1.8988934825182375E-4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1.9340629208207085E-4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1.9560555359230487E-4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1.9780481510253895E-4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2.00004076612773E-4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2.0220333812300708E-4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2.0440259963324113E-4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2.0540606226758268E-4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2.0640952490192423E-4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2.0741298753626576E-4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2.0841645017060731E-4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2.0941991280494886E-4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2.0997837455062295E-4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2.1053683629629707E-4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2.1109529804197119E-4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2.116537597876453E-4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2.1221222153331942E-4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7.0433584567303042E-3</v>
      </c>
      <c r="C2" s="7">
        <f>$B2 * IFERROR(VLOOKUP("transport|SO2|Premature mortality", US_national_yearly!$D:$AM, 11, FALSE) / VLOOKUP("transport|SO2|Premature mortality", US_national_yearly!$D:$AM, 10, FALSE), 1)</f>
        <v>7.1325587806740582E-3</v>
      </c>
      <c r="D2" s="7">
        <f>$B2 * IFERROR(VLOOKUP("transport|SO2|Premature mortality", US_national_yearly!$D:$AM, 12, FALSE) / VLOOKUP("transport|SO2|Premature mortality", US_national_yearly!$D:$AM, 10, FALSE), 1)</f>
        <v>7.2217591046178147E-3</v>
      </c>
      <c r="E2" s="7">
        <f>$B2 * IFERROR(VLOOKUP("transport|SO2|Premature mortality", US_national_yearly!$D:$AM, 13, FALSE) / VLOOKUP("transport|SO2|Premature mortality", US_national_yearly!$D:$AM, 10, FALSE), 1)</f>
        <v>7.3109594285615687E-3</v>
      </c>
      <c r="F2" s="7">
        <f>$B2 * IFERROR(VLOOKUP("transport|SO2|Premature mortality", US_national_yearly!$D:$AM, 14, FALSE) / VLOOKUP("transport|SO2|Premature mortality", US_national_yearly!$D:$AM, 10, FALSE), 1)</f>
        <v>7.4001597525053236E-3</v>
      </c>
      <c r="G2" s="7">
        <f>$B2 * IFERROR(VLOOKUP("transport|SO2|Premature mortality", US_national_yearly!$D:$AM, 15, FALSE) / VLOOKUP("transport|SO2|Premature mortality", US_national_yearly!$D:$AM, 10, FALSE), 1)</f>
        <v>7.5720437214190032E-3</v>
      </c>
      <c r="H2" s="7">
        <f>$B2 * IFERROR(VLOOKUP("transport|SO2|Premature mortality", US_national_yearly!$D:$AM, 16, FALSE) / VLOOKUP("transport|SO2|Premature mortality", US_national_yearly!$D:$AM, 10, FALSE), 1)</f>
        <v>7.7439276903326819E-3</v>
      </c>
      <c r="I2" s="7">
        <f>$B2 * IFERROR(VLOOKUP("transport|SO2|Premature mortality", US_national_yearly!$D:$AM, 17, FALSE) / VLOOKUP("transport|SO2|Premature mortality", US_national_yearly!$D:$AM, 10, FALSE), 1)</f>
        <v>7.8575191490124919E-3</v>
      </c>
      <c r="J2" s="7">
        <f>$B2 * IFERROR(VLOOKUP("transport|SO2|Premature mortality", US_national_yearly!$D:$AM, 18, FALSE) / VLOOKUP("transport|SO2|Premature mortality", US_national_yearly!$D:$AM, 10, FALSE), 1)</f>
        <v>7.971110607692301E-3</v>
      </c>
      <c r="K2" s="7">
        <f>$B2 * IFERROR(VLOOKUP("transport|SO2|Premature mortality", US_national_yearly!$D:$AM, 19, FALSE) / VLOOKUP("transport|SO2|Premature mortality", US_national_yearly!$D:$AM, 10, FALSE), 1)</f>
        <v>8.0847020663721101E-3</v>
      </c>
      <c r="L2" s="7">
        <f>$B2 * IFERROR(VLOOKUP("transport|SO2|Premature mortality", US_national_yearly!$D:$AM, 20, FALSE) / VLOOKUP("transport|SO2|Premature mortality", US_national_yearly!$D:$AM, 10, FALSE), 1)</f>
        <v>8.1982935250519192E-3</v>
      </c>
      <c r="M2" s="7">
        <f>$B2 * IFERROR(VLOOKUP("transport|SO2|Premature mortality", US_national_yearly!$D:$AM, 21, FALSE) / VLOOKUP("transport|SO2|Premature mortality", US_national_yearly!$D:$AM, 10, FALSE), 1)</f>
        <v>8.31188498373173E-3</v>
      </c>
      <c r="N2" s="7">
        <f>$B2 * IFERROR(VLOOKUP("transport|SO2|Premature mortality", US_national_yearly!$D:$AM, 22, FALSE) / VLOOKUP("transport|SO2|Premature mortality", US_national_yearly!$D:$AM, 10, FALSE), 1)</f>
        <v>8.4006391880336821E-3</v>
      </c>
      <c r="O2" s="7">
        <f>$B2 * IFERROR(VLOOKUP("transport|SO2|Premature mortality", US_national_yearly!$D:$AM, 23, FALSE) / VLOOKUP("transport|SO2|Premature mortality", US_national_yearly!$D:$AM, 10, FALSE), 1)</f>
        <v>8.4893933923356341E-3</v>
      </c>
      <c r="P2" s="7">
        <f>$B2 * IFERROR(VLOOKUP("transport|SO2|Premature mortality", US_national_yearly!$D:$AM, 24, FALSE) / VLOOKUP("transport|SO2|Premature mortality", US_national_yearly!$D:$AM, 10, FALSE), 1)</f>
        <v>8.5781475966375861E-3</v>
      </c>
      <c r="Q2" s="7">
        <f>$B2 * IFERROR(VLOOKUP("transport|SO2|Premature mortality", US_national_yearly!$D:$AM, 25, FALSE) / VLOOKUP("transport|SO2|Premature mortality", US_national_yearly!$D:$AM, 10, FALSE), 1)</f>
        <v>8.6669018009395381E-3</v>
      </c>
      <c r="R2" s="7">
        <f>$B2 * IFERROR(VLOOKUP("transport|SO2|Premature mortality", US_national_yearly!$D:$AM, 26, FALSE) / VLOOKUP("transport|SO2|Premature mortality", US_national_yearly!$D:$AM, 10, FALSE), 1)</f>
        <v>8.7556560052414883E-3</v>
      </c>
      <c r="S2" s="7">
        <f>$B2 * IFERROR(VLOOKUP("transport|SO2|Premature mortality", US_national_yearly!$D:$AM, 27, FALSE) / VLOOKUP("transport|SO2|Premature mortality", US_national_yearly!$D:$AM, 10, FALSE), 1)</f>
        <v>8.8031850634250983E-3</v>
      </c>
      <c r="T2" s="7">
        <f>$B2 * IFERROR(VLOOKUP("transport|SO2|Premature mortality", US_national_yearly!$D:$AM, 28, FALSE) / VLOOKUP("transport|SO2|Premature mortality", US_national_yearly!$D:$AM, 10, FALSE), 1)</f>
        <v>8.8507141216087066E-3</v>
      </c>
      <c r="U2" s="7">
        <f>$B2 * IFERROR(VLOOKUP("transport|SO2|Premature mortality", US_national_yearly!$D:$AM, 29, FALSE) / VLOOKUP("transport|SO2|Premature mortality", US_national_yearly!$D:$AM, 10, FALSE), 1)</f>
        <v>8.8982431797923148E-3</v>
      </c>
      <c r="V2" s="7">
        <f>$B2 * IFERROR(VLOOKUP("transport|SO2|Premature mortality", US_national_yearly!$D:$AM, 30, FALSE) / VLOOKUP("transport|SO2|Premature mortality", US_national_yearly!$D:$AM, 10, FALSE), 1)</f>
        <v>8.9457722379759231E-3</v>
      </c>
      <c r="W2" s="7">
        <f>$B2 * IFERROR(VLOOKUP("transport|SO2|Premature mortality", US_national_yearly!$D:$AM, 31, FALSE) / VLOOKUP("transport|SO2|Premature mortality", US_national_yearly!$D:$AM, 10, FALSE), 1)</f>
        <v>8.9933012961595331E-3</v>
      </c>
      <c r="X2" s="7">
        <f>$B2 * IFERROR(VLOOKUP("transport|SO2|Premature mortality", US_national_yearly!$D:$AM, 32, FALSE) / VLOOKUP("transport|SO2|Premature mortality", US_national_yearly!$D:$AM, 10, FALSE), 1)</f>
        <v>9.0029569697099888E-3</v>
      </c>
      <c r="Y2" s="7">
        <f>$B2 * IFERROR(VLOOKUP("transport|SO2|Premature mortality", US_national_yearly!$D:$AM, 33, FALSE) / VLOOKUP("transport|SO2|Premature mortality", US_national_yearly!$D:$AM, 10, FALSE), 1)</f>
        <v>9.0126126432604464E-3</v>
      </c>
      <c r="Z2" s="7">
        <f>$B2 * IFERROR(VLOOKUP("transport|SO2|Premature mortality", US_national_yearly!$D:$AM, 34, FALSE) / VLOOKUP("transport|SO2|Premature mortality", US_national_yearly!$D:$AM, 10, FALSE), 1)</f>
        <v>9.0222683168109039E-3</v>
      </c>
      <c r="AA2" s="7">
        <f>$B2 * IFERROR(VLOOKUP("transport|SO2|Premature mortality", US_national_yearly!$D:$AM, 35, FALSE) / VLOOKUP("transport|SO2|Premature mortality", US_national_yearly!$D:$AM, 10, FALSE), 1)</f>
        <v>9.0319239903613614E-3</v>
      </c>
      <c r="AB2" s="7">
        <f>$B2 * IFERROR(VLOOKUP("transport|SO2|Premature mortality", US_national_yearly!$D:$AM, 36, FALSE) / VLOOKUP("transport|SO2|Premature mortality", US_national_yearly!$D:$AM, 10, FALSE), 1)</f>
        <v>9.0415796639118171E-3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2.393767523182247E-5</v>
      </c>
      <c r="C3" s="7">
        <f>$B3 * IFERROR(VLOOKUP("transport|SO2|Infant mortality", US_national_yearly!$D:$AM, 11, FALSE) / VLOOKUP("transport|SO2|Infant mortality", US_national_yearly!$D:$AM, 10, FALSE), 1)</f>
        <v>2.3732046235215796E-5</v>
      </c>
      <c r="D3" s="7">
        <f>$B3 * IFERROR(VLOOKUP("transport|SO2|Infant mortality", US_national_yearly!$D:$AM, 12, FALSE) / VLOOKUP("transport|SO2|Infant mortality", US_national_yearly!$D:$AM, 10, FALSE), 1)</f>
        <v>2.3526417238609126E-5</v>
      </c>
      <c r="E3" s="7">
        <f>$B3 * IFERROR(VLOOKUP("transport|SO2|Infant mortality", US_national_yearly!$D:$AM, 13, FALSE) / VLOOKUP("transport|SO2|Infant mortality", US_national_yearly!$D:$AM, 10, FALSE), 1)</f>
        <v>2.3320788242002449E-5</v>
      </c>
      <c r="F3" s="7">
        <f>$B3 * IFERROR(VLOOKUP("transport|SO2|Infant mortality", US_national_yearly!$D:$AM, 14, FALSE) / VLOOKUP("transport|SO2|Infant mortality", US_national_yearly!$D:$AM, 10, FALSE), 1)</f>
        <v>2.3115159245395778E-5</v>
      </c>
      <c r="G3" s="7">
        <f>$B3 * IFERROR(VLOOKUP("transport|SO2|Infant mortality", US_national_yearly!$D:$AM, 15, FALSE) / VLOOKUP("transport|SO2|Infant mortality", US_national_yearly!$D:$AM, 10, FALSE), 1)</f>
        <v>1.5396557788897136E-5</v>
      </c>
      <c r="H3" s="7">
        <f>$B3 * IFERROR(VLOOKUP("transport|SO2|Infant mortality", US_national_yearly!$D:$AM, 16, FALSE) / VLOOKUP("transport|SO2|Infant mortality", US_national_yearly!$D:$AM, 10, FALSE), 1)</f>
        <v>7.6779563323985049E-6</v>
      </c>
      <c r="I3" s="7">
        <f>$B3 * IFERROR(VLOOKUP("transport|SO2|Infant mortality", US_national_yearly!$D:$AM, 17, FALSE) / VLOOKUP("transport|SO2|Infant mortality", US_national_yearly!$D:$AM, 10, FALSE), 1)</f>
        <v>7.6297901937816213E-6</v>
      </c>
      <c r="J3" s="7">
        <f>$B3 * IFERROR(VLOOKUP("transport|SO2|Infant mortality", US_national_yearly!$D:$AM, 18, FALSE) / VLOOKUP("transport|SO2|Infant mortality", US_national_yearly!$D:$AM, 10, FALSE), 1)</f>
        <v>7.581624055164737E-6</v>
      </c>
      <c r="K3" s="7">
        <f>$B3 * IFERROR(VLOOKUP("transport|SO2|Infant mortality", US_national_yearly!$D:$AM, 19, FALSE) / VLOOKUP("transport|SO2|Infant mortality", US_national_yearly!$D:$AM, 10, FALSE), 1)</f>
        <v>7.5334579165478526E-6</v>
      </c>
      <c r="L3" s="7">
        <f>$B3 * IFERROR(VLOOKUP("transport|SO2|Infant mortality", US_national_yearly!$D:$AM, 20, FALSE) / VLOOKUP("transport|SO2|Infant mortality", US_national_yearly!$D:$AM, 10, FALSE), 1)</f>
        <v>7.48529177793097E-6</v>
      </c>
      <c r="M3" s="7">
        <f>$B3 * IFERROR(VLOOKUP("transport|SO2|Infant mortality", US_national_yearly!$D:$AM, 21, FALSE) / VLOOKUP("transport|SO2|Infant mortality", US_national_yearly!$D:$AM, 10, FALSE), 1)</f>
        <v>7.4371256393140856E-6</v>
      </c>
      <c r="N3" s="7">
        <f>$B3 * IFERROR(VLOOKUP("transport|SO2|Infant mortality", US_national_yearly!$D:$AM, 22, FALSE) / VLOOKUP("transport|SO2|Infant mortality", US_national_yearly!$D:$AM, 10, FALSE), 1)</f>
        <v>7.4068921147078783E-6</v>
      </c>
      <c r="O3" s="7">
        <f>$B3 * IFERROR(VLOOKUP("transport|SO2|Infant mortality", US_national_yearly!$D:$AM, 23, FALSE) / VLOOKUP("transport|SO2|Infant mortality", US_national_yearly!$D:$AM, 10, FALSE), 1)</f>
        <v>7.376658590101671E-6</v>
      </c>
      <c r="P3" s="7">
        <f>$B3 * IFERROR(VLOOKUP("transport|SO2|Infant mortality", US_national_yearly!$D:$AM, 24, FALSE) / VLOOKUP("transport|SO2|Infant mortality", US_national_yearly!$D:$AM, 10, FALSE), 1)</f>
        <v>7.3464250654954629E-6</v>
      </c>
      <c r="Q3" s="7">
        <f>$B3 * IFERROR(VLOOKUP("transport|SO2|Infant mortality", US_national_yearly!$D:$AM, 25, FALSE) / VLOOKUP("transport|SO2|Infant mortality", US_national_yearly!$D:$AM, 10, FALSE), 1)</f>
        <v>7.3161915408892547E-6</v>
      </c>
      <c r="R3" s="7">
        <f>$B3 * IFERROR(VLOOKUP("transport|SO2|Infant mortality", US_national_yearly!$D:$AM, 26, FALSE) / VLOOKUP("transport|SO2|Infant mortality", US_national_yearly!$D:$AM, 10, FALSE), 1)</f>
        <v>7.2859580162830466E-6</v>
      </c>
      <c r="S3" s="7">
        <f>$B3 * IFERROR(VLOOKUP("transport|SO2|Infant mortality", US_national_yearly!$D:$AM, 27, FALSE) / VLOOKUP("transport|SO2|Infant mortality", US_national_yearly!$D:$AM, 10, FALSE), 1)</f>
        <v>7.2479979842742068E-6</v>
      </c>
      <c r="T3" s="7">
        <f>$B3 * IFERROR(VLOOKUP("transport|SO2|Infant mortality", US_national_yearly!$D:$AM, 28, FALSE) / VLOOKUP("transport|SO2|Infant mortality", US_national_yearly!$D:$AM, 10, FALSE), 1)</f>
        <v>7.2100379522653678E-6</v>
      </c>
      <c r="U3" s="7">
        <f>$B3 * IFERROR(VLOOKUP("transport|SO2|Infant mortality", US_national_yearly!$D:$AM, 29, FALSE) / VLOOKUP("transport|SO2|Infant mortality", US_national_yearly!$D:$AM, 10, FALSE), 1)</f>
        <v>7.1720779202565263E-6</v>
      </c>
      <c r="V3" s="7">
        <f>$B3 * IFERROR(VLOOKUP("transport|SO2|Infant mortality", US_national_yearly!$D:$AM, 30, FALSE) / VLOOKUP("transport|SO2|Infant mortality", US_national_yearly!$D:$AM, 10, FALSE), 1)</f>
        <v>7.1341178882476882E-6</v>
      </c>
      <c r="W3" s="7">
        <f>$B3 * IFERROR(VLOOKUP("transport|SO2|Infant mortality", US_national_yearly!$D:$AM, 31, FALSE) / VLOOKUP("transport|SO2|Infant mortality", US_national_yearly!$D:$AM, 10, FALSE), 1)</f>
        <v>7.0961578562388476E-6</v>
      </c>
      <c r="X3" s="7">
        <f>$B3 * IFERROR(VLOOKUP("transport|SO2|Infant mortality", US_national_yearly!$D:$AM, 32, FALSE) / VLOOKUP("transport|SO2|Infant mortality", US_national_yearly!$D:$AM, 10, FALSE), 1)</f>
        <v>7.05465582405146E-6</v>
      </c>
      <c r="Y3" s="7">
        <f>$B3 * IFERROR(VLOOKUP("transport|SO2|Infant mortality", US_national_yearly!$D:$AM, 33, FALSE) / VLOOKUP("transport|SO2|Infant mortality", US_national_yearly!$D:$AM, 10, FALSE), 1)</f>
        <v>7.0131537918640708E-6</v>
      </c>
      <c r="Z3" s="7">
        <f>$B3 * IFERROR(VLOOKUP("transport|SO2|Infant mortality", US_national_yearly!$D:$AM, 34, FALSE) / VLOOKUP("transport|SO2|Infant mortality", US_national_yearly!$D:$AM, 10, FALSE), 1)</f>
        <v>6.9716517596766842E-6</v>
      </c>
      <c r="AA3" s="7">
        <f>$B3 * IFERROR(VLOOKUP("transport|SO2|Infant mortality", US_national_yearly!$D:$AM, 35, FALSE) / VLOOKUP("transport|SO2|Infant mortality", US_national_yearly!$D:$AM, 10, FALSE), 1)</f>
        <v>6.9301497274892941E-6</v>
      </c>
      <c r="AB3" s="7">
        <f>$B3 * IFERROR(VLOOKUP("transport|SO2|Infant mortality", US_national_yearly!$D:$AM, 36, FALSE) / VLOOKUP("transport|SO2|Infant mortality", US_national_yearly!$D:$AM, 10, FALSE), 1)</f>
        <v>6.8886476953019074E-6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2.2296734793143813E-2</v>
      </c>
      <c r="C6" s="7">
        <f>$B6 * IFERROR(VLOOKUP("transport|SO2|Asthma symptoms cough", US_national_yearly!$D:$AM, 11, FALSE) / VLOOKUP("transport|SO2|Asthma symptoms cough", US_national_yearly!$D:$AM, 10, FALSE), 1)</f>
        <v>2.2296734793143813E-2</v>
      </c>
      <c r="D6" s="7">
        <f>$B6 * IFERROR(VLOOKUP("transport|SO2|Asthma symptoms cough", US_national_yearly!$D:$AM, 12, FALSE) / VLOOKUP("transport|SO2|Asthma symptoms cough", US_national_yearly!$D:$AM, 10, FALSE), 1)</f>
        <v>2.2296734793143813E-2</v>
      </c>
      <c r="E6" s="7">
        <f>$B6 * IFERROR(VLOOKUP("transport|SO2|Asthma symptoms cough", US_national_yearly!$D:$AM, 13, FALSE) / VLOOKUP("transport|SO2|Asthma symptoms cough", US_national_yearly!$D:$AM, 10, FALSE), 1)</f>
        <v>2.2296734793143813E-2</v>
      </c>
      <c r="F6" s="7">
        <f>$B6 * IFERROR(VLOOKUP("transport|SO2|Asthma symptoms cough", US_national_yearly!$D:$AM, 14, FALSE) / VLOOKUP("transport|SO2|Asthma symptoms cough", US_national_yearly!$D:$AM, 10, FALSE), 1)</f>
        <v>2.2296734793143813E-2</v>
      </c>
      <c r="G6" s="7">
        <f>$B6 * IFERROR(VLOOKUP("transport|SO2|Asthma symptoms cough", US_national_yearly!$D:$AM, 15, FALSE) / VLOOKUP("transport|SO2|Asthma symptoms cough", US_national_yearly!$D:$AM, 10, FALSE), 1)</f>
        <v>2.2296734793143813E-2</v>
      </c>
      <c r="H6" s="7">
        <f>$B6 * IFERROR(VLOOKUP("transport|SO2|Asthma symptoms cough", US_national_yearly!$D:$AM, 16, FALSE) / VLOOKUP("transport|SO2|Asthma symptoms cough", US_national_yearly!$D:$AM, 10, FALSE), 1)</f>
        <v>2.2296734793143813E-2</v>
      </c>
      <c r="I6" s="7">
        <f>$B6 * IFERROR(VLOOKUP("transport|SO2|Asthma symptoms cough", US_national_yearly!$D:$AM, 17, FALSE) / VLOOKUP("transport|SO2|Asthma symptoms cough", US_national_yearly!$D:$AM, 10, FALSE), 1)</f>
        <v>2.2296734793143813E-2</v>
      </c>
      <c r="J6" s="7">
        <f>$B6 * IFERROR(VLOOKUP("transport|SO2|Asthma symptoms cough", US_national_yearly!$D:$AM, 18, FALSE) / VLOOKUP("transport|SO2|Asthma symptoms cough", US_national_yearly!$D:$AM, 10, FALSE), 1)</f>
        <v>2.2296734793143813E-2</v>
      </c>
      <c r="K6" s="7">
        <f>$B6 * IFERROR(VLOOKUP("transport|SO2|Asthma symptoms cough", US_national_yearly!$D:$AM, 19, FALSE) / VLOOKUP("transport|SO2|Asthma symptoms cough", US_national_yearly!$D:$AM, 10, FALSE), 1)</f>
        <v>2.2296734793143813E-2</v>
      </c>
      <c r="L6" s="7">
        <f>$B6 * IFERROR(VLOOKUP("transport|SO2|Asthma symptoms cough", US_national_yearly!$D:$AM, 20, FALSE) / VLOOKUP("transport|SO2|Asthma symptoms cough", US_national_yearly!$D:$AM, 10, FALSE), 1)</f>
        <v>2.2296734793143813E-2</v>
      </c>
      <c r="M6" s="7">
        <f>$B6 * IFERROR(VLOOKUP("transport|SO2|Asthma symptoms cough", US_national_yearly!$D:$AM, 21, FALSE) / VLOOKUP("transport|SO2|Asthma symptoms cough", US_national_yearly!$D:$AM, 10, FALSE), 1)</f>
        <v>2.2296734793143813E-2</v>
      </c>
      <c r="N6" s="7">
        <f>$B6 * IFERROR(VLOOKUP("transport|SO2|Asthma symptoms cough", US_national_yearly!$D:$AM, 22, FALSE) / VLOOKUP("transport|SO2|Asthma symptoms cough", US_national_yearly!$D:$AM, 10, FALSE), 1)</f>
        <v>2.2296734793143813E-2</v>
      </c>
      <c r="O6" s="7">
        <f>$B6 * IFERROR(VLOOKUP("transport|SO2|Asthma symptoms cough", US_national_yearly!$D:$AM, 23, FALSE) / VLOOKUP("transport|SO2|Asthma symptoms cough", US_national_yearly!$D:$AM, 10, FALSE), 1)</f>
        <v>2.2296734793143813E-2</v>
      </c>
      <c r="P6" s="7">
        <f>$B6 * IFERROR(VLOOKUP("transport|SO2|Asthma symptoms cough", US_national_yearly!$D:$AM, 24, FALSE) / VLOOKUP("transport|SO2|Asthma symptoms cough", US_national_yearly!$D:$AM, 10, FALSE), 1)</f>
        <v>2.2296734793143813E-2</v>
      </c>
      <c r="Q6" s="7">
        <f>$B6 * IFERROR(VLOOKUP("transport|SO2|Asthma symptoms cough", US_national_yearly!$D:$AM, 25, FALSE) / VLOOKUP("transport|SO2|Asthma symptoms cough", US_national_yearly!$D:$AM, 10, FALSE), 1)</f>
        <v>2.2296734793143813E-2</v>
      </c>
      <c r="R6" s="7">
        <f>$B6 * IFERROR(VLOOKUP("transport|SO2|Asthma symptoms cough", US_national_yearly!$D:$AM, 26, FALSE) / VLOOKUP("transport|SO2|Asthma symptoms cough", US_national_yearly!$D:$AM, 10, FALSE), 1)</f>
        <v>2.2296734793143813E-2</v>
      </c>
      <c r="S6" s="7">
        <f>$B6 * IFERROR(VLOOKUP("transport|SO2|Asthma symptoms cough", US_national_yearly!$D:$AM, 27, FALSE) / VLOOKUP("transport|SO2|Asthma symptoms cough", US_national_yearly!$D:$AM, 10, FALSE), 1)</f>
        <v>2.2296734793143813E-2</v>
      </c>
      <c r="T6" s="7">
        <f>$B6 * IFERROR(VLOOKUP("transport|SO2|Asthma symptoms cough", US_national_yearly!$D:$AM, 28, FALSE) / VLOOKUP("transport|SO2|Asthma symptoms cough", US_national_yearly!$D:$AM, 10, FALSE), 1)</f>
        <v>2.2296734793143813E-2</v>
      </c>
      <c r="U6" s="7">
        <f>$B6 * IFERROR(VLOOKUP("transport|SO2|Asthma symptoms cough", US_national_yearly!$D:$AM, 29, FALSE) / VLOOKUP("transport|SO2|Asthma symptoms cough", US_national_yearly!$D:$AM, 10, FALSE), 1)</f>
        <v>2.2296734793143813E-2</v>
      </c>
      <c r="V6" s="7">
        <f>$B6 * IFERROR(VLOOKUP("transport|SO2|Asthma symptoms cough", US_national_yearly!$D:$AM, 30, FALSE) / VLOOKUP("transport|SO2|Asthma symptoms cough", US_national_yearly!$D:$AM, 10, FALSE), 1)</f>
        <v>2.2296734793143813E-2</v>
      </c>
      <c r="W6" s="7">
        <f>$B6 * IFERROR(VLOOKUP("transport|SO2|Asthma symptoms cough", US_national_yearly!$D:$AM, 31, FALSE) / VLOOKUP("transport|SO2|Asthma symptoms cough", US_national_yearly!$D:$AM, 10, FALSE), 1)</f>
        <v>2.2296734793143813E-2</v>
      </c>
      <c r="X6" s="7">
        <f>$B6 * IFERROR(VLOOKUP("transport|SO2|Asthma symptoms cough", US_national_yearly!$D:$AM, 32, FALSE) / VLOOKUP("transport|SO2|Asthma symptoms cough", US_national_yearly!$D:$AM, 10, FALSE), 1)</f>
        <v>2.2296734793143813E-2</v>
      </c>
      <c r="Y6" s="7">
        <f>$B6 * IFERROR(VLOOKUP("transport|SO2|Asthma symptoms cough", US_national_yearly!$D:$AM, 33, FALSE) / VLOOKUP("transport|SO2|Asthma symptoms cough", US_national_yearly!$D:$AM, 10, FALSE), 1)</f>
        <v>2.2296734793143813E-2</v>
      </c>
      <c r="Z6" s="7">
        <f>$B6 * IFERROR(VLOOKUP("transport|SO2|Asthma symptoms cough", US_national_yearly!$D:$AM, 34, FALSE) / VLOOKUP("transport|SO2|Asthma symptoms cough", US_national_yearly!$D:$AM, 10, FALSE), 1)</f>
        <v>2.2296734793143813E-2</v>
      </c>
      <c r="AA6" s="7">
        <f>$B6 * IFERROR(VLOOKUP("transport|SO2|Asthma symptoms cough", US_national_yearly!$D:$AM, 35, FALSE) / VLOOKUP("transport|SO2|Asthma symptoms cough", US_national_yearly!$D:$AM, 10, FALSE), 1)</f>
        <v>2.2296734793143813E-2</v>
      </c>
      <c r="AB6" s="7">
        <f>$B6 * IFERROR(VLOOKUP("transport|SO2|Asthma symptoms cough", US_national_yearly!$D:$AM, 36, FALSE) / VLOOKUP("transport|SO2|Asthma symptoms cough", US_national_yearly!$D:$AM, 10, FALSE), 1)</f>
        <v>2.2296734793143813E-2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3.0025708177200291E-2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3.0025708177200291E-2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3.0025708177200291E-2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3.0025708177200291E-2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3.0025708177200291E-2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3.0025708177200291E-2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3.0025708177200291E-2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3.0025708177200291E-2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3.0025708177200291E-2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3.0025708177200291E-2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3.0025708177200291E-2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3.0025708177200291E-2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3.0025708177200291E-2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3.0025708177200291E-2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3.0025708177200291E-2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3.0025708177200291E-2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3.0025708177200291E-2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3.0025708177200291E-2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3.0025708177200291E-2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3.0025708177200291E-2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3.0025708177200291E-2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3.0025708177200291E-2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3.0025708177200291E-2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3.0025708177200291E-2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3.0025708177200291E-2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3.0025708177200291E-2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3.0025708177200291E-2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4.5874480847448856E-2</v>
      </c>
      <c r="C8" s="7">
        <f>$B8 * IFERROR(VLOOKUP("transport|SO2|Asthma symptoms wheeze", US_national_yearly!$D:$AM, 11, FALSE) / VLOOKUP("transport|SO2|Asthma symptoms wheeze", US_national_yearly!$D:$AM, 10, FALSE), 1)</f>
        <v>4.5874480847448856E-2</v>
      </c>
      <c r="D8" s="7">
        <f>$B8 * IFERROR(VLOOKUP("transport|SO2|Asthma symptoms wheeze", US_national_yearly!$D:$AM, 12, FALSE) / VLOOKUP("transport|SO2|Asthma symptoms wheeze", US_national_yearly!$D:$AM, 10, FALSE), 1)</f>
        <v>4.5874480847448856E-2</v>
      </c>
      <c r="E8" s="7">
        <f>$B8 * IFERROR(VLOOKUP("transport|SO2|Asthma symptoms wheeze", US_national_yearly!$D:$AM, 13, FALSE) / VLOOKUP("transport|SO2|Asthma symptoms wheeze", US_national_yearly!$D:$AM, 10, FALSE), 1)</f>
        <v>4.5874480847448856E-2</v>
      </c>
      <c r="F8" s="7">
        <f>$B8 * IFERROR(VLOOKUP("transport|SO2|Asthma symptoms wheeze", US_national_yearly!$D:$AM, 14, FALSE) / VLOOKUP("transport|SO2|Asthma symptoms wheeze", US_national_yearly!$D:$AM, 10, FALSE), 1)</f>
        <v>4.5874480847448856E-2</v>
      </c>
      <c r="G8" s="7">
        <f>$B8 * IFERROR(VLOOKUP("transport|SO2|Asthma symptoms wheeze", US_national_yearly!$D:$AM, 15, FALSE) / VLOOKUP("transport|SO2|Asthma symptoms wheeze", US_national_yearly!$D:$AM, 10, FALSE), 1)</f>
        <v>4.5874480847448856E-2</v>
      </c>
      <c r="H8" s="7">
        <f>$B8 * IFERROR(VLOOKUP("transport|SO2|Asthma symptoms wheeze", US_national_yearly!$D:$AM, 16, FALSE) / VLOOKUP("transport|SO2|Asthma symptoms wheeze", US_national_yearly!$D:$AM, 10, FALSE), 1)</f>
        <v>4.5874480847448856E-2</v>
      </c>
      <c r="I8" s="7">
        <f>$B8 * IFERROR(VLOOKUP("transport|SO2|Asthma symptoms wheeze", US_national_yearly!$D:$AM, 17, FALSE) / VLOOKUP("transport|SO2|Asthma symptoms wheeze", US_national_yearly!$D:$AM, 10, FALSE), 1)</f>
        <v>4.5874480847448856E-2</v>
      </c>
      <c r="J8" s="7">
        <f>$B8 * IFERROR(VLOOKUP("transport|SO2|Asthma symptoms wheeze", US_national_yearly!$D:$AM, 18, FALSE) / VLOOKUP("transport|SO2|Asthma symptoms wheeze", US_national_yearly!$D:$AM, 10, FALSE), 1)</f>
        <v>4.5874480847448856E-2</v>
      </c>
      <c r="K8" s="7">
        <f>$B8 * IFERROR(VLOOKUP("transport|SO2|Asthma symptoms wheeze", US_national_yearly!$D:$AM, 19, FALSE) / VLOOKUP("transport|SO2|Asthma symptoms wheeze", US_national_yearly!$D:$AM, 10, FALSE), 1)</f>
        <v>4.5874480847448856E-2</v>
      </c>
      <c r="L8" s="7">
        <f>$B8 * IFERROR(VLOOKUP("transport|SO2|Asthma symptoms wheeze", US_national_yearly!$D:$AM, 20, FALSE) / VLOOKUP("transport|SO2|Asthma symptoms wheeze", US_national_yearly!$D:$AM, 10, FALSE), 1)</f>
        <v>4.5874480847448856E-2</v>
      </c>
      <c r="M8" s="7">
        <f>$B8 * IFERROR(VLOOKUP("transport|SO2|Asthma symptoms wheeze", US_national_yearly!$D:$AM, 21, FALSE) / VLOOKUP("transport|SO2|Asthma symptoms wheeze", US_national_yearly!$D:$AM, 10, FALSE), 1)</f>
        <v>4.5874480847448856E-2</v>
      </c>
      <c r="N8" s="7">
        <f>$B8 * IFERROR(VLOOKUP("transport|SO2|Asthma symptoms wheeze", US_national_yearly!$D:$AM, 22, FALSE) / VLOOKUP("transport|SO2|Asthma symptoms wheeze", US_national_yearly!$D:$AM, 10, FALSE), 1)</f>
        <v>4.5874480847448856E-2</v>
      </c>
      <c r="O8" s="7">
        <f>$B8 * IFERROR(VLOOKUP("transport|SO2|Asthma symptoms wheeze", US_national_yearly!$D:$AM, 23, FALSE) / VLOOKUP("transport|SO2|Asthma symptoms wheeze", US_national_yearly!$D:$AM, 10, FALSE), 1)</f>
        <v>4.5874480847448856E-2</v>
      </c>
      <c r="P8" s="7">
        <f>$B8 * IFERROR(VLOOKUP("transport|SO2|Asthma symptoms wheeze", US_national_yearly!$D:$AM, 24, FALSE) / VLOOKUP("transport|SO2|Asthma symptoms wheeze", US_national_yearly!$D:$AM, 10, FALSE), 1)</f>
        <v>4.5874480847448856E-2</v>
      </c>
      <c r="Q8" s="7">
        <f>$B8 * IFERROR(VLOOKUP("transport|SO2|Asthma symptoms wheeze", US_national_yearly!$D:$AM, 25, FALSE) / VLOOKUP("transport|SO2|Asthma symptoms wheeze", US_national_yearly!$D:$AM, 10, FALSE), 1)</f>
        <v>4.5874480847448856E-2</v>
      </c>
      <c r="R8" s="7">
        <f>$B8 * IFERROR(VLOOKUP("transport|SO2|Asthma symptoms wheeze", US_national_yearly!$D:$AM, 26, FALSE) / VLOOKUP("transport|SO2|Asthma symptoms wheeze", US_national_yearly!$D:$AM, 10, FALSE), 1)</f>
        <v>4.5874480847448856E-2</v>
      </c>
      <c r="S8" s="7">
        <f>$B8 * IFERROR(VLOOKUP("transport|SO2|Asthma symptoms wheeze", US_national_yearly!$D:$AM, 27, FALSE) / VLOOKUP("transport|SO2|Asthma symptoms wheeze", US_national_yearly!$D:$AM, 10, FALSE), 1)</f>
        <v>4.5874480847448856E-2</v>
      </c>
      <c r="T8" s="7">
        <f>$B8 * IFERROR(VLOOKUP("transport|SO2|Asthma symptoms wheeze", US_national_yearly!$D:$AM, 28, FALSE) / VLOOKUP("transport|SO2|Asthma symptoms wheeze", US_national_yearly!$D:$AM, 10, FALSE), 1)</f>
        <v>4.5874480847448856E-2</v>
      </c>
      <c r="U8" s="7">
        <f>$B8 * IFERROR(VLOOKUP("transport|SO2|Asthma symptoms wheeze", US_national_yearly!$D:$AM, 29, FALSE) / VLOOKUP("transport|SO2|Asthma symptoms wheeze", US_national_yearly!$D:$AM, 10, FALSE), 1)</f>
        <v>4.5874480847448856E-2</v>
      </c>
      <c r="V8" s="7">
        <f>$B8 * IFERROR(VLOOKUP("transport|SO2|Asthma symptoms wheeze", US_national_yearly!$D:$AM, 30, FALSE) / VLOOKUP("transport|SO2|Asthma symptoms wheeze", US_national_yearly!$D:$AM, 10, FALSE), 1)</f>
        <v>4.5874480847448856E-2</v>
      </c>
      <c r="W8" s="7">
        <f>$B8 * IFERROR(VLOOKUP("transport|SO2|Asthma symptoms wheeze", US_national_yearly!$D:$AM, 31, FALSE) / VLOOKUP("transport|SO2|Asthma symptoms wheeze", US_national_yearly!$D:$AM, 10, FALSE), 1)</f>
        <v>4.5874480847448856E-2</v>
      </c>
      <c r="X8" s="7">
        <f>$B8 * IFERROR(VLOOKUP("transport|SO2|Asthma symptoms wheeze", US_national_yearly!$D:$AM, 32, FALSE) / VLOOKUP("transport|SO2|Asthma symptoms wheeze", US_national_yearly!$D:$AM, 10, FALSE), 1)</f>
        <v>4.5874480847448856E-2</v>
      </c>
      <c r="Y8" s="7">
        <f>$B8 * IFERROR(VLOOKUP("transport|SO2|Asthma symptoms wheeze", US_national_yearly!$D:$AM, 33, FALSE) / VLOOKUP("transport|SO2|Asthma symptoms wheeze", US_national_yearly!$D:$AM, 10, FALSE), 1)</f>
        <v>4.5874480847448856E-2</v>
      </c>
      <c r="Z8" s="7">
        <f>$B8 * IFERROR(VLOOKUP("transport|SO2|Asthma symptoms wheeze", US_national_yearly!$D:$AM, 34, FALSE) / VLOOKUP("transport|SO2|Asthma symptoms wheeze", US_national_yearly!$D:$AM, 10, FALSE), 1)</f>
        <v>4.5874480847448856E-2</v>
      </c>
      <c r="AA8" s="7">
        <f>$B8 * IFERROR(VLOOKUP("transport|SO2|Asthma symptoms wheeze", US_national_yearly!$D:$AM, 35, FALSE) / VLOOKUP("transport|SO2|Asthma symptoms wheeze", US_national_yearly!$D:$AM, 10, FALSE), 1)</f>
        <v>4.5874480847448856E-2</v>
      </c>
      <c r="AB8" s="7">
        <f>$B8 * IFERROR(VLOOKUP("transport|SO2|Asthma symptoms wheeze", US_national_yearly!$D:$AM, 36, FALSE) / VLOOKUP("transport|SO2|Asthma symptoms wheeze", US_national_yearly!$D:$AM, 10, FALSE), 1)</f>
        <v>4.5874480847448856E-2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4.882530105562589E-4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4.9113275107620397E-4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4.9401249159614915E-4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4.9689223211609422E-4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4.9977197263603929E-4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5.0291137553147753E-4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5.0605077842691578E-4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5.0914660347209384E-4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5.1224242851727201E-4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5.1533825356244996E-4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5.1843407860762813E-4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5.2152990365280608E-4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5.2378976037200839E-4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5.260496170912106E-4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5.283094738104127E-4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5.3056933052961501E-4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5.3282918724881722E-4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5.3498491812700277E-4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5.3714064900518821E-4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5.3929637988337387E-4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5.4145211076155942E-4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5.4360784163974497E-4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5.4565327631419364E-4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5.4769871098864231E-4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5.4974414566309098E-4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5.5178958033753954E-4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5.5383501501198831E-4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3.3107875429138865E-3</v>
      </c>
      <c r="C13" s="7">
        <f>$B13 * IFERROR(VLOOKUP("transport|SO2|Non-fatal heart attacks", US_national_yearly!$D:$AM, 11, FALSE) / VLOOKUP("transport|SO2|Non-fatal heart attacks", US_national_yearly!$D:$AM, 10, FALSE), 1)</f>
        <v>3.4079802397341181E-3</v>
      </c>
      <c r="D13" s="7">
        <f>$B13 * IFERROR(VLOOKUP("transport|SO2|Non-fatal heart attacks", US_national_yearly!$D:$AM, 12, FALSE) / VLOOKUP("transport|SO2|Non-fatal heart attacks", US_national_yearly!$D:$AM, 10, FALSE), 1)</f>
        <v>3.5051729365543501E-3</v>
      </c>
      <c r="E13" s="7">
        <f>$B13 * IFERROR(VLOOKUP("transport|SO2|Non-fatal heart attacks", US_national_yearly!$D:$AM, 13, FALSE) / VLOOKUP("transport|SO2|Non-fatal heart attacks", US_national_yearly!$D:$AM, 10, FALSE), 1)</f>
        <v>3.6023656333745817E-3</v>
      </c>
      <c r="F13" s="7">
        <f>$B13 * IFERROR(VLOOKUP("transport|SO2|Non-fatal heart attacks", US_national_yearly!$D:$AM, 14, FALSE) / VLOOKUP("transport|SO2|Non-fatal heart attacks", US_national_yearly!$D:$AM, 10, FALSE), 1)</f>
        <v>3.6995583301948128E-3</v>
      </c>
      <c r="G13" s="7">
        <f>$B13 * IFERROR(VLOOKUP("transport|SO2|Non-fatal heart attacks", US_national_yearly!$D:$AM, 15, FALSE) / VLOOKUP("transport|SO2|Non-fatal heart attacks", US_national_yearly!$D:$AM, 10, FALSE), 1)</f>
        <v>3.7912200584696567E-3</v>
      </c>
      <c r="H13" s="7">
        <f>$B13 * IFERROR(VLOOKUP("transport|SO2|Non-fatal heart attacks", US_national_yearly!$D:$AM, 16, FALSE) / VLOOKUP("transport|SO2|Non-fatal heart attacks", US_national_yearly!$D:$AM, 10, FALSE), 1)</f>
        <v>3.8828817867445011E-3</v>
      </c>
      <c r="I13" s="7">
        <f>$B13 * IFERROR(VLOOKUP("transport|SO2|Non-fatal heart attacks", US_national_yearly!$D:$AM, 17, FALSE) / VLOOKUP("transport|SO2|Non-fatal heart attacks", US_national_yearly!$D:$AM, 10, FALSE), 1)</f>
        <v>3.9566407433828847E-3</v>
      </c>
      <c r="J13" s="7">
        <f>$B13 * IFERROR(VLOOKUP("transport|SO2|Non-fatal heart attacks", US_national_yearly!$D:$AM, 18, FALSE) / VLOOKUP("transport|SO2|Non-fatal heart attacks", US_national_yearly!$D:$AM, 10, FALSE), 1)</f>
        <v>4.0303997000212697E-3</v>
      </c>
      <c r="K13" s="7">
        <f>$B13 * IFERROR(VLOOKUP("transport|SO2|Non-fatal heart attacks", US_national_yearly!$D:$AM, 19, FALSE) / VLOOKUP("transport|SO2|Non-fatal heart attacks", US_national_yearly!$D:$AM, 10, FALSE), 1)</f>
        <v>4.1041586566596538E-3</v>
      </c>
      <c r="L13" s="7">
        <f>$B13 * IFERROR(VLOOKUP("transport|SO2|Non-fatal heart attacks", US_national_yearly!$D:$AM, 20, FALSE) / VLOOKUP("transport|SO2|Non-fatal heart attacks", US_national_yearly!$D:$AM, 10, FALSE), 1)</f>
        <v>4.1779176132980397E-3</v>
      </c>
      <c r="M13" s="7">
        <f>$B13 * IFERROR(VLOOKUP("transport|SO2|Non-fatal heart attacks", US_national_yearly!$D:$AM, 21, FALSE) / VLOOKUP("transport|SO2|Non-fatal heart attacks", US_national_yearly!$D:$AM, 10, FALSE), 1)</f>
        <v>4.2516765699364238E-3</v>
      </c>
      <c r="N13" s="7">
        <f>$B13 * IFERROR(VLOOKUP("transport|SO2|Non-fatal heart attacks", US_national_yearly!$D:$AM, 22, FALSE) / VLOOKUP("transport|SO2|Non-fatal heart attacks", US_national_yearly!$D:$AM, 10, FALSE), 1)</f>
        <v>4.2995691516081527E-3</v>
      </c>
      <c r="O13" s="7">
        <f>$B13 * IFERROR(VLOOKUP("transport|SO2|Non-fatal heart attacks", US_national_yearly!$D:$AM, 23, FALSE) / VLOOKUP("transport|SO2|Non-fatal heart attacks", US_national_yearly!$D:$AM, 10, FALSE), 1)</f>
        <v>4.3474617332798834E-3</v>
      </c>
      <c r="P13" s="7">
        <f>$B13 * IFERROR(VLOOKUP("transport|SO2|Non-fatal heart attacks", US_national_yearly!$D:$AM, 24, FALSE) / VLOOKUP("transport|SO2|Non-fatal heart attacks", US_national_yearly!$D:$AM, 10, FALSE), 1)</f>
        <v>4.3953543149516132E-3</v>
      </c>
      <c r="Q13" s="7">
        <f>$B13 * IFERROR(VLOOKUP("transport|SO2|Non-fatal heart attacks", US_national_yearly!$D:$AM, 25, FALSE) / VLOOKUP("transport|SO2|Non-fatal heart attacks", US_national_yearly!$D:$AM, 10, FALSE), 1)</f>
        <v>4.4432468966233429E-3</v>
      </c>
      <c r="R13" s="7">
        <f>$B13 * IFERROR(VLOOKUP("transport|SO2|Non-fatal heart attacks", US_national_yearly!$D:$AM, 26, FALSE) / VLOOKUP("transport|SO2|Non-fatal heart attacks", US_national_yearly!$D:$AM, 10, FALSE), 1)</f>
        <v>4.4911394782950718E-3</v>
      </c>
      <c r="S13" s="7">
        <f>$B13 * IFERROR(VLOOKUP("transport|SO2|Non-fatal heart attacks", US_national_yearly!$D:$AM, 27, FALSE) / VLOOKUP("transport|SO2|Non-fatal heart attacks", US_national_yearly!$D:$AM, 10, FALSE), 1)</f>
        <v>4.5161439258002136E-3</v>
      </c>
      <c r="T13" s="7">
        <f>$B13 * IFERROR(VLOOKUP("transport|SO2|Non-fatal heart attacks", US_national_yearly!$D:$AM, 28, FALSE) / VLOOKUP("transport|SO2|Non-fatal heart attacks", US_national_yearly!$D:$AM, 10, FALSE), 1)</f>
        <v>4.5411483733053554E-3</v>
      </c>
      <c r="U13" s="7">
        <f>$B13 * IFERROR(VLOOKUP("transport|SO2|Non-fatal heart attacks", US_national_yearly!$D:$AM, 29, FALSE) / VLOOKUP("transport|SO2|Non-fatal heart attacks", US_national_yearly!$D:$AM, 10, FALSE), 1)</f>
        <v>4.5661528208104955E-3</v>
      </c>
      <c r="V13" s="7">
        <f>$B13 * IFERROR(VLOOKUP("transport|SO2|Non-fatal heart attacks", US_national_yearly!$D:$AM, 30, FALSE) / VLOOKUP("transport|SO2|Non-fatal heart attacks", US_national_yearly!$D:$AM, 10, FALSE), 1)</f>
        <v>4.5911572683156364E-3</v>
      </c>
      <c r="W13" s="7">
        <f>$B13 * IFERROR(VLOOKUP("transport|SO2|Non-fatal heart attacks", US_national_yearly!$D:$AM, 31, FALSE) / VLOOKUP("transport|SO2|Non-fatal heart attacks", US_national_yearly!$D:$AM, 10, FALSE), 1)</f>
        <v>4.6161617158207791E-3</v>
      </c>
      <c r="X13" s="7">
        <f>$B13 * IFERROR(VLOOKUP("transport|SO2|Non-fatal heart attacks", US_national_yearly!$D:$AM, 32, FALSE) / VLOOKUP("transport|SO2|Non-fatal heart attacks", US_national_yearly!$D:$AM, 10, FALSE), 1)</f>
        <v>4.6350378864518406E-3</v>
      </c>
      <c r="Y13" s="7">
        <f>$B13 * IFERROR(VLOOKUP("transport|SO2|Non-fatal heart attacks", US_national_yearly!$D:$AM, 33, FALSE) / VLOOKUP("transport|SO2|Non-fatal heart attacks", US_national_yearly!$D:$AM, 10, FALSE), 1)</f>
        <v>4.6539140570829021E-3</v>
      </c>
      <c r="Z13" s="7">
        <f>$B13 * IFERROR(VLOOKUP("transport|SO2|Non-fatal heart attacks", US_national_yearly!$D:$AM, 34, FALSE) / VLOOKUP("transport|SO2|Non-fatal heart attacks", US_national_yearly!$D:$AM, 10, FALSE), 1)</f>
        <v>4.6727902277139636E-3</v>
      </c>
      <c r="AA13" s="7">
        <f>$B13 * IFERROR(VLOOKUP("transport|SO2|Non-fatal heart attacks", US_national_yearly!$D:$AM, 35, FALSE) / VLOOKUP("transport|SO2|Non-fatal heart attacks", US_national_yearly!$D:$AM, 10, FALSE), 1)</f>
        <v>4.6916663983450251E-3</v>
      </c>
      <c r="AB13" s="7">
        <f>$B13 * IFERROR(VLOOKUP("transport|SO2|Non-fatal heart attacks", US_national_yearly!$D:$AM, 36, FALSE) / VLOOKUP("transport|SO2|Non-fatal heart attacks", US_national_yearly!$D:$AM, 10, FALSE), 1)</f>
        <v>4.7105425689760866E-3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2.8281214991460768</v>
      </c>
      <c r="C14" s="7">
        <f>$B14 * IFERROR(VLOOKUP("transport|SO2|Minor restricted activity days", US_national_yearly!$D:$AM, 11, FALSE) / VLOOKUP("transport|SO2|Minor restricted activity days", US_national_yearly!$D:$AM, 10, FALSE), 1)</f>
        <v>2.8352502511370536</v>
      </c>
      <c r="D14" s="7">
        <f>$B14 * IFERROR(VLOOKUP("transport|SO2|Minor restricted activity days", US_national_yearly!$D:$AM, 12, FALSE) / VLOOKUP("transport|SO2|Minor restricted activity days", US_national_yearly!$D:$AM, 10, FALSE), 1)</f>
        <v>2.84237900312803</v>
      </c>
      <c r="E14" s="7">
        <f>$B14 * IFERROR(VLOOKUP("transport|SO2|Minor restricted activity days", US_national_yearly!$D:$AM, 13, FALSE) / VLOOKUP("transport|SO2|Minor restricted activity days", US_national_yearly!$D:$AM, 10, FALSE), 1)</f>
        <v>2.8495077551190069</v>
      </c>
      <c r="F14" s="7">
        <f>$B14 * IFERROR(VLOOKUP("transport|SO2|Minor restricted activity days", US_national_yearly!$D:$AM, 14, FALSE) / VLOOKUP("transport|SO2|Minor restricted activity days", US_national_yearly!$D:$AM, 10, FALSE), 1)</f>
        <v>2.8566365071099833</v>
      </c>
      <c r="G14" s="7">
        <f>$B14 * IFERROR(VLOOKUP("transport|SO2|Minor restricted activity days", US_national_yearly!$D:$AM, 15, FALSE) / VLOOKUP("transport|SO2|Minor restricted activity days", US_national_yearly!$D:$AM, 10, FALSE), 1)</f>
        <v>2.8671293297081948</v>
      </c>
      <c r="H14" s="7">
        <f>$B14 * IFERROR(VLOOKUP("transport|SO2|Minor restricted activity days", US_national_yearly!$D:$AM, 16, FALSE) / VLOOKUP("transport|SO2|Minor restricted activity days", US_national_yearly!$D:$AM, 10, FALSE), 1)</f>
        <v>2.8776221523064063</v>
      </c>
      <c r="I14" s="7">
        <f>$B14 * IFERROR(VLOOKUP("transport|SO2|Minor restricted activity days", US_national_yearly!$D:$AM, 17, FALSE) / VLOOKUP("transport|SO2|Minor restricted activity days", US_national_yearly!$D:$AM, 10, FALSE), 1)</f>
        <v>2.8955166832019983</v>
      </c>
      <c r="J14" s="7">
        <f>$B14 * IFERROR(VLOOKUP("transport|SO2|Minor restricted activity days", US_national_yearly!$D:$AM, 18, FALSE) / VLOOKUP("transport|SO2|Minor restricted activity days", US_national_yearly!$D:$AM, 10, FALSE), 1)</f>
        <v>2.9134112140975907</v>
      </c>
      <c r="K14" s="7">
        <f>$B14 * IFERROR(VLOOKUP("transport|SO2|Minor restricted activity days", US_national_yearly!$D:$AM, 19, FALSE) / VLOOKUP("transport|SO2|Minor restricted activity days", US_national_yearly!$D:$AM, 10, FALSE), 1)</f>
        <v>2.9313057449931836</v>
      </c>
      <c r="L14" s="7">
        <f>$B14 * IFERROR(VLOOKUP("transport|SO2|Minor restricted activity days", US_national_yearly!$D:$AM, 20, FALSE) / VLOOKUP("transport|SO2|Minor restricted activity days", US_national_yearly!$D:$AM, 10, FALSE), 1)</f>
        <v>2.9492002758887761</v>
      </c>
      <c r="M14" s="7">
        <f>$B14 * IFERROR(VLOOKUP("transport|SO2|Minor restricted activity days", US_national_yearly!$D:$AM, 21, FALSE) / VLOOKUP("transport|SO2|Minor restricted activity days", US_national_yearly!$D:$AM, 10, FALSE), 1)</f>
        <v>2.9670948067843681</v>
      </c>
      <c r="N14" s="7">
        <f>$B14 * IFERROR(VLOOKUP("transport|SO2|Minor restricted activity days", US_national_yearly!$D:$AM, 22, FALSE) / VLOOKUP("transport|SO2|Minor restricted activity days", US_national_yearly!$D:$AM, 10, FALSE), 1)</f>
        <v>2.9915716537113921</v>
      </c>
      <c r="O14" s="7">
        <f>$B14 * IFERROR(VLOOKUP("transport|SO2|Minor restricted activity days", US_national_yearly!$D:$AM, 23, FALSE) / VLOOKUP("transport|SO2|Minor restricted activity days", US_national_yearly!$D:$AM, 10, FALSE), 1)</f>
        <v>3.0160485006384161</v>
      </c>
      <c r="P14" s="7">
        <f>$B14 * IFERROR(VLOOKUP("transport|SO2|Minor restricted activity days", US_national_yearly!$D:$AM, 24, FALSE) / VLOOKUP("transport|SO2|Minor restricted activity days", US_national_yearly!$D:$AM, 10, FALSE), 1)</f>
        <v>3.0405253475654401</v>
      </c>
      <c r="Q14" s="7">
        <f>$B14 * IFERROR(VLOOKUP("transport|SO2|Minor restricted activity days", US_national_yearly!$D:$AM, 25, FALSE) / VLOOKUP("transport|SO2|Minor restricted activity days", US_national_yearly!$D:$AM, 10, FALSE), 1)</f>
        <v>3.0650021944924641</v>
      </c>
      <c r="R14" s="7">
        <f>$B14 * IFERROR(VLOOKUP("transport|SO2|Minor restricted activity days", US_national_yearly!$D:$AM, 26, FALSE) / VLOOKUP("transport|SO2|Minor restricted activity days", US_national_yearly!$D:$AM, 10, FALSE), 1)</f>
        <v>3.0894790414194877</v>
      </c>
      <c r="S14" s="7">
        <f>$B14 * IFERROR(VLOOKUP("transport|SO2|Minor restricted activity days", US_national_yearly!$D:$AM, 27, FALSE) / VLOOKUP("transport|SO2|Minor restricted activity days", US_national_yearly!$D:$AM, 10, FALSE), 1)</f>
        <v>3.1144355825066663</v>
      </c>
      <c r="T14" s="7">
        <f>$B14 * IFERROR(VLOOKUP("transport|SO2|Minor restricted activity days", US_national_yearly!$D:$AM, 28, FALSE) / VLOOKUP("transport|SO2|Minor restricted activity days", US_national_yearly!$D:$AM, 10, FALSE), 1)</f>
        <v>3.1393921235938445</v>
      </c>
      <c r="U14" s="7">
        <f>$B14 * IFERROR(VLOOKUP("transport|SO2|Minor restricted activity days", US_national_yearly!$D:$AM, 29, FALSE) / VLOOKUP("transport|SO2|Minor restricted activity days", US_national_yearly!$D:$AM, 10, FALSE), 1)</f>
        <v>3.1643486646810226</v>
      </c>
      <c r="V14" s="7">
        <f>$B14 * IFERROR(VLOOKUP("transport|SO2|Minor restricted activity days", US_national_yearly!$D:$AM, 30, FALSE) / VLOOKUP("transport|SO2|Minor restricted activity days", US_national_yearly!$D:$AM, 10, FALSE), 1)</f>
        <v>3.1893052057682012</v>
      </c>
      <c r="W14" s="7">
        <f>$B14 * IFERROR(VLOOKUP("transport|SO2|Minor restricted activity days", US_national_yearly!$D:$AM, 31, FALSE) / VLOOKUP("transport|SO2|Minor restricted activity days", US_national_yearly!$D:$AM, 10, FALSE), 1)</f>
        <v>3.2142617468553798</v>
      </c>
      <c r="X14" s="7">
        <f>$B14 * IFERROR(VLOOKUP("transport|SO2|Minor restricted activity days", US_national_yearly!$D:$AM, 32, FALSE) / VLOOKUP("transport|SO2|Minor restricted activity days", US_national_yearly!$D:$AM, 10, FALSE), 1)</f>
        <v>3.2362090359843325</v>
      </c>
      <c r="Y14" s="7">
        <f>$B14 * IFERROR(VLOOKUP("transport|SO2|Minor restricted activity days", US_national_yearly!$D:$AM, 33, FALSE) / VLOOKUP("transport|SO2|Minor restricted activity days", US_national_yearly!$D:$AM, 10, FALSE), 1)</f>
        <v>3.2581563251132848</v>
      </c>
      <c r="Z14" s="7">
        <f>$B14 * IFERROR(VLOOKUP("transport|SO2|Minor restricted activity days", US_national_yearly!$D:$AM, 34, FALSE) / VLOOKUP("transport|SO2|Minor restricted activity days", US_national_yearly!$D:$AM, 10, FALSE), 1)</f>
        <v>3.280103614242238</v>
      </c>
      <c r="AA14" s="7">
        <f>$B14 * IFERROR(VLOOKUP("transport|SO2|Minor restricted activity days", US_national_yearly!$D:$AM, 35, FALSE) / VLOOKUP("transport|SO2|Minor restricted activity days", US_national_yearly!$D:$AM, 10, FALSE), 1)</f>
        <v>3.3020509033711902</v>
      </c>
      <c r="AB14" s="7">
        <f>$B14 * IFERROR(VLOOKUP("transport|SO2|Minor restricted activity days", US_national_yearly!$D:$AM, 36, FALSE) / VLOOKUP("transport|SO2|Minor restricted activity days", US_national_yearly!$D:$AM, 10, FALSE), 1)</f>
        <v>3.3239981925001429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0.48150322132676482</v>
      </c>
      <c r="C15" s="7">
        <f>$B15 * IFERROR(VLOOKUP("transport|SO2|Work loss days", US_national_yearly!$D:$AM, 11, FALSE) / VLOOKUP("transport|SO2|Work loss days", US_national_yearly!$D:$AM, 10, FALSE), 1)</f>
        <v>0.48306321523569579</v>
      </c>
      <c r="D15" s="7">
        <f>$B15 * IFERROR(VLOOKUP("transport|SO2|Work loss days", US_national_yearly!$D:$AM, 12, FALSE) / VLOOKUP("transport|SO2|Work loss days", US_national_yearly!$D:$AM, 10, FALSE), 1)</f>
        <v>0.48462320914462675</v>
      </c>
      <c r="E15" s="7">
        <f>$B15 * IFERROR(VLOOKUP("transport|SO2|Work loss days", US_national_yearly!$D:$AM, 13, FALSE) / VLOOKUP("transport|SO2|Work loss days", US_national_yearly!$D:$AM, 10, FALSE), 1)</f>
        <v>0.48618320305355767</v>
      </c>
      <c r="F15" s="7">
        <f>$B15 * IFERROR(VLOOKUP("transport|SO2|Work loss days", US_national_yearly!$D:$AM, 14, FALSE) / VLOOKUP("transport|SO2|Work loss days", US_national_yearly!$D:$AM, 10, FALSE), 1)</f>
        <v>0.48774319696248863</v>
      </c>
      <c r="G15" s="7">
        <f>$B15 * IFERROR(VLOOKUP("transport|SO2|Work loss days", US_national_yearly!$D:$AM, 15, FALSE) / VLOOKUP("transport|SO2|Work loss days", US_national_yearly!$D:$AM, 10, FALSE), 1)</f>
        <v>0.48978151988196178</v>
      </c>
      <c r="H15" s="7">
        <f>$B15 * IFERROR(VLOOKUP("transport|SO2|Work loss days", US_national_yearly!$D:$AM, 16, FALSE) / VLOOKUP("transport|SO2|Work loss days", US_national_yearly!$D:$AM, 10, FALSE), 1)</f>
        <v>0.49181984280143481</v>
      </c>
      <c r="I15" s="7">
        <f>$B15 * IFERROR(VLOOKUP("transport|SO2|Work loss days", US_national_yearly!$D:$AM, 17, FALSE) / VLOOKUP("transport|SO2|Work loss days", US_national_yearly!$D:$AM, 10, FALSE), 1)</f>
        <v>0.4948016356075125</v>
      </c>
      <c r="J15" s="7">
        <f>$B15 * IFERROR(VLOOKUP("transport|SO2|Work loss days", US_national_yearly!$D:$AM, 18, FALSE) / VLOOKUP("transport|SO2|Work loss days", US_national_yearly!$D:$AM, 10, FALSE), 1)</f>
        <v>0.49778342841359013</v>
      </c>
      <c r="K15" s="7">
        <f>$B15 * IFERROR(VLOOKUP("transport|SO2|Work loss days", US_national_yearly!$D:$AM, 19, FALSE) / VLOOKUP("transport|SO2|Work loss days", US_national_yearly!$D:$AM, 10, FALSE), 1)</f>
        <v>0.50076522121966782</v>
      </c>
      <c r="L15" s="7">
        <f>$B15 * IFERROR(VLOOKUP("transport|SO2|Work loss days", US_national_yearly!$D:$AM, 20, FALSE) / VLOOKUP("transport|SO2|Work loss days", US_national_yearly!$D:$AM, 10, FALSE), 1)</f>
        <v>0.50374701402574551</v>
      </c>
      <c r="M15" s="7">
        <f>$B15 * IFERROR(VLOOKUP("transport|SO2|Work loss days", US_national_yearly!$D:$AM, 21, FALSE) / VLOOKUP("transport|SO2|Work loss days", US_national_yearly!$D:$AM, 10, FALSE), 1)</f>
        <v>0.50672880683182331</v>
      </c>
      <c r="N15" s="7">
        <f>$B15 * IFERROR(VLOOKUP("transport|SO2|Work loss days", US_national_yearly!$D:$AM, 22, FALSE) / VLOOKUP("transport|SO2|Work loss days", US_national_yearly!$D:$AM, 10, FALSE), 1)</f>
        <v>0.51046749180939655</v>
      </c>
      <c r="O15" s="7">
        <f>$B15 * IFERROR(VLOOKUP("transport|SO2|Work loss days", US_national_yearly!$D:$AM, 23, FALSE) / VLOOKUP("transport|SO2|Work loss days", US_national_yearly!$D:$AM, 10, FALSE), 1)</f>
        <v>0.51420617678696989</v>
      </c>
      <c r="P15" s="7">
        <f>$B15 * IFERROR(VLOOKUP("transport|SO2|Work loss days", US_national_yearly!$D:$AM, 24, FALSE) / VLOOKUP("transport|SO2|Work loss days", US_national_yearly!$D:$AM, 10, FALSE), 1)</f>
        <v>0.51794486176454302</v>
      </c>
      <c r="Q15" s="7">
        <f>$B15 * IFERROR(VLOOKUP("transport|SO2|Work loss days", US_national_yearly!$D:$AM, 25, FALSE) / VLOOKUP("transport|SO2|Work loss days", US_national_yearly!$D:$AM, 10, FALSE), 1)</f>
        <v>0.52168354674211637</v>
      </c>
      <c r="R15" s="7">
        <f>$B15 * IFERROR(VLOOKUP("transport|SO2|Work loss days", US_national_yearly!$D:$AM, 26, FALSE) / VLOOKUP("transport|SO2|Work loss days", US_national_yearly!$D:$AM, 10, FALSE), 1)</f>
        <v>0.52542223171968971</v>
      </c>
      <c r="S15" s="7">
        <f>$B15 * IFERROR(VLOOKUP("transport|SO2|Work loss days", US_national_yearly!$D:$AM, 27, FALSE) / VLOOKUP("transport|SO2|Work loss days", US_national_yearly!$D:$AM, 10, FALSE), 1)</f>
        <v>0.52960019985584084</v>
      </c>
      <c r="T15" s="7">
        <f>$B15 * IFERROR(VLOOKUP("transport|SO2|Work loss days", US_national_yearly!$D:$AM, 28, FALSE) / VLOOKUP("transport|SO2|Work loss days", US_national_yearly!$D:$AM, 10, FALSE), 1)</f>
        <v>0.53377816799199218</v>
      </c>
      <c r="U15" s="7">
        <f>$B15 * IFERROR(VLOOKUP("transport|SO2|Work loss days", US_national_yearly!$D:$AM, 29, FALSE) / VLOOKUP("transport|SO2|Work loss days", US_national_yearly!$D:$AM, 10, FALSE), 1)</f>
        <v>0.53795613612814341</v>
      </c>
      <c r="V15" s="7">
        <f>$B15 * IFERROR(VLOOKUP("transport|SO2|Work loss days", US_national_yearly!$D:$AM, 30, FALSE) / VLOOKUP("transport|SO2|Work loss days", US_national_yearly!$D:$AM, 10, FALSE), 1)</f>
        <v>0.54213410426429454</v>
      </c>
      <c r="W15" s="7">
        <f>$B15 * IFERROR(VLOOKUP("transport|SO2|Work loss days", US_national_yearly!$D:$AM, 31, FALSE) / VLOOKUP("transport|SO2|Work loss days", US_national_yearly!$D:$AM, 10, FALSE), 1)</f>
        <v>0.54631207240044588</v>
      </c>
      <c r="X15" s="7">
        <f>$B15 * IFERROR(VLOOKUP("transport|SO2|Work loss days", US_national_yearly!$D:$AM, 32, FALSE) / VLOOKUP("transport|SO2|Work loss days", US_national_yearly!$D:$AM, 10, FALSE), 1)</f>
        <v>0.55006331190972269</v>
      </c>
      <c r="Y15" s="7">
        <f>$B15 * IFERROR(VLOOKUP("transport|SO2|Work loss days", US_national_yearly!$D:$AM, 33, FALSE) / VLOOKUP("transport|SO2|Work loss days", US_national_yearly!$D:$AM, 10, FALSE), 1)</f>
        <v>0.55381455141899949</v>
      </c>
      <c r="Z15" s="7">
        <f>$B15 * IFERROR(VLOOKUP("transport|SO2|Work loss days", US_national_yearly!$D:$AM, 34, FALSE) / VLOOKUP("transport|SO2|Work loss days", US_national_yearly!$D:$AM, 10, FALSE), 1)</f>
        <v>0.55756579092827629</v>
      </c>
      <c r="AA15" s="7">
        <f>$B15 * IFERROR(VLOOKUP("transport|SO2|Work loss days", US_national_yearly!$D:$AM, 35, FALSE) / VLOOKUP("transport|SO2|Work loss days", US_national_yearly!$D:$AM, 10, FALSE), 1)</f>
        <v>0.56131703043755321</v>
      </c>
      <c r="AB15" s="7">
        <f>$B15 * IFERROR(VLOOKUP("transport|SO2|Work loss days", US_national_yearly!$D:$AM, 36, FALSE) / VLOOKUP("transport|SO2|Work loss days", US_national_yearly!$D:$AM, 10, FALSE), 1)</f>
        <v>0.56506826994683002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8.5537650712876588E-4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8.812463683017588E-4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9.0711622947475172E-4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9.3298609064774464E-4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9.5885595182073778E-4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9.836368189851531E-4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1.0084176861495685E-3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1.0296500533654611E-3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1.0508824205813538E-3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1.0721147877972462E-3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1.0933471550131388E-3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1.1145795222290312E-3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1.1288428364820337E-3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1.1431061507350363E-3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1.1573694649880386E-3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1.171632779241041E-3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1.1858960934940435E-3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1.1933975812421995E-3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1.2008990689903554E-3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1.2084005567385115E-3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1.2159020444866674E-3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1.2234035322348233E-3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1.2284395289403993E-3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1.2334755256459755E-3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1.2385115223515516E-3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1.2435475190571278E-3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1.2485835157627038E-3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9.839028876045491E-3</v>
      </c>
      <c r="C2" s="7">
        <f>$B2 * IFERROR(VLOOKUP("electricity|PM25|Premature mortality", US_national_yearly!$D:$AM, 11, FALSE) / VLOOKUP("electricity|PM25|Premature mortality", US_national_yearly!$D:$AM, 10, FALSE), 1)</f>
        <v>9.9608974268130413E-3</v>
      </c>
      <c r="D2" s="7">
        <f>$B2 * IFERROR(VLOOKUP("electricity|PM25|Premature mortality", US_national_yearly!$D:$AM, 12, FALSE) / VLOOKUP("electricity|PM25|Premature mortality", US_national_yearly!$D:$AM, 10, FALSE), 1)</f>
        <v>1.0082765977580592E-2</v>
      </c>
      <c r="E2" s="7">
        <f>$B2 * IFERROR(VLOOKUP("electricity|PM25|Premature mortality", US_national_yearly!$D:$AM, 13, FALSE) / VLOOKUP("electricity|PM25|Premature mortality", US_national_yearly!$D:$AM, 10, FALSE), 1)</f>
        <v>1.0204634528348142E-2</v>
      </c>
      <c r="F2" s="7">
        <f>$B2 * IFERROR(VLOOKUP("electricity|PM25|Premature mortality", US_national_yearly!$D:$AM, 14, FALSE) / VLOOKUP("electricity|PM25|Premature mortality", US_national_yearly!$D:$AM, 10, FALSE), 1)</f>
        <v>1.0326503079115694E-2</v>
      </c>
      <c r="G2" s="7">
        <f>$B2 * IFERROR(VLOOKUP("electricity|PM25|Premature mortality", US_national_yearly!$D:$AM, 15, FALSE) / VLOOKUP("electricity|PM25|Premature mortality", US_national_yearly!$D:$AM, 10, FALSE), 1)</f>
        <v>1.0565859393996829E-2</v>
      </c>
      <c r="H2" s="7">
        <f>$B2 * IFERROR(VLOOKUP("electricity|PM25|Premature mortality", US_national_yearly!$D:$AM, 16, FALSE) / VLOOKUP("electricity|PM25|Premature mortality", US_national_yearly!$D:$AM, 10, FALSE), 1)</f>
        <v>1.0805215708877965E-2</v>
      </c>
      <c r="I2" s="7">
        <f>$B2 * IFERROR(VLOOKUP("electricity|PM25|Premature mortality", US_national_yearly!$D:$AM, 17, FALSE) / VLOOKUP("electricity|PM25|Premature mortality", US_national_yearly!$D:$AM, 10, FALSE), 1)</f>
        <v>1.0966041250028362E-2</v>
      </c>
      <c r="J2" s="7">
        <f>$B2 * IFERROR(VLOOKUP("electricity|PM25|Premature mortality", US_national_yearly!$D:$AM, 18, FALSE) / VLOOKUP("electricity|PM25|Premature mortality", US_national_yearly!$D:$AM, 10, FALSE), 1)</f>
        <v>1.1126866791178761E-2</v>
      </c>
      <c r="K2" s="7">
        <f>$B2 * IFERROR(VLOOKUP("electricity|PM25|Premature mortality", US_national_yearly!$D:$AM, 19, FALSE) / VLOOKUP("electricity|PM25|Premature mortality", US_national_yearly!$D:$AM, 10, FALSE), 1)</f>
        <v>1.1287692332329157E-2</v>
      </c>
      <c r="L2" s="7">
        <f>$B2 * IFERROR(VLOOKUP("electricity|PM25|Premature mortality", US_national_yearly!$D:$AM, 20, FALSE) / VLOOKUP("electricity|PM25|Premature mortality", US_national_yearly!$D:$AM, 10, FALSE), 1)</f>
        <v>1.1448517873479556E-2</v>
      </c>
      <c r="M2" s="7">
        <f>$B2 * IFERROR(VLOOKUP("electricity|PM25|Premature mortality", US_national_yearly!$D:$AM, 21, FALSE) / VLOOKUP("electricity|PM25|Premature mortality", US_national_yearly!$D:$AM, 10, FALSE), 1)</f>
        <v>1.1609343414629953E-2</v>
      </c>
      <c r="N2" s="7">
        <f>$B2 * IFERROR(VLOOKUP("electricity|PM25|Premature mortality", US_national_yearly!$D:$AM, 22, FALSE) / VLOOKUP("electricity|PM25|Premature mortality", US_national_yearly!$D:$AM, 10, FALSE), 1)</f>
        <v>1.1737539579031805E-2</v>
      </c>
      <c r="O2" s="7">
        <f>$B2 * IFERROR(VLOOKUP("electricity|PM25|Premature mortality", US_national_yearly!$D:$AM, 23, FALSE) / VLOOKUP("electricity|PM25|Premature mortality", US_national_yearly!$D:$AM, 10, FALSE), 1)</f>
        <v>1.1865735743433654E-2</v>
      </c>
      <c r="P2" s="7">
        <f>$B2 * IFERROR(VLOOKUP("electricity|PM25|Premature mortality", US_national_yearly!$D:$AM, 24, FALSE) / VLOOKUP("electricity|PM25|Premature mortality", US_national_yearly!$D:$AM, 10, FALSE), 1)</f>
        <v>1.1993931907835506E-2</v>
      </c>
      <c r="Q2" s="7">
        <f>$B2 * IFERROR(VLOOKUP("electricity|PM25|Premature mortality", US_national_yearly!$D:$AM, 25, FALSE) / VLOOKUP("electricity|PM25|Premature mortality", US_national_yearly!$D:$AM, 10, FALSE), 1)</f>
        <v>1.2122128072237354E-2</v>
      </c>
      <c r="R2" s="7">
        <f>$B2 * IFERROR(VLOOKUP("electricity|PM25|Premature mortality", US_national_yearly!$D:$AM, 26, FALSE) / VLOOKUP("electricity|PM25|Premature mortality", US_national_yearly!$D:$AM, 10, FALSE), 1)</f>
        <v>1.2250324236639206E-2</v>
      </c>
      <c r="S2" s="7">
        <f>$B2 * IFERROR(VLOOKUP("electricity|PM25|Premature mortality", US_national_yearly!$D:$AM, 27, FALSE) / VLOOKUP("electricity|PM25|Premature mortality", US_national_yearly!$D:$AM, 10, FALSE), 1)</f>
        <v>1.2323678769009101E-2</v>
      </c>
      <c r="T2" s="7">
        <f>$B2 * IFERROR(VLOOKUP("electricity|PM25|Premature mortality", US_national_yearly!$D:$AM, 28, FALSE) / VLOOKUP("electricity|PM25|Premature mortality", US_national_yearly!$D:$AM, 10, FALSE), 1)</f>
        <v>1.2397033301378993E-2</v>
      </c>
      <c r="U2" s="7">
        <f>$B2 * IFERROR(VLOOKUP("electricity|PM25|Premature mortality", US_national_yearly!$D:$AM, 29, FALSE) / VLOOKUP("electricity|PM25|Premature mortality", US_national_yearly!$D:$AM, 10, FALSE), 1)</f>
        <v>1.2470387833748891E-2</v>
      </c>
      <c r="V2" s="7">
        <f>$B2 * IFERROR(VLOOKUP("electricity|PM25|Premature mortality", US_national_yearly!$D:$AM, 30, FALSE) / VLOOKUP("electricity|PM25|Premature mortality", US_national_yearly!$D:$AM, 10, FALSE), 1)</f>
        <v>1.2543742366118783E-2</v>
      </c>
      <c r="W2" s="7">
        <f>$B2 * IFERROR(VLOOKUP("electricity|PM25|Premature mortality", US_national_yearly!$D:$AM, 31, FALSE) / VLOOKUP("electricity|PM25|Premature mortality", US_national_yearly!$D:$AM, 10, FALSE), 1)</f>
        <v>1.2617096898488677E-2</v>
      </c>
      <c r="X2" s="7">
        <f>$B2 * IFERROR(VLOOKUP("electricity|PM25|Premature mortality", US_national_yearly!$D:$AM, 32, FALSE) / VLOOKUP("electricity|PM25|Premature mortality", US_national_yearly!$D:$AM, 10, FALSE), 1)</f>
        <v>1.2637474313300501E-2</v>
      </c>
      <c r="Y2" s="7">
        <f>$B2 * IFERROR(VLOOKUP("electricity|PM25|Premature mortality", US_national_yearly!$D:$AM, 33, FALSE) / VLOOKUP("electricity|PM25|Premature mortality", US_national_yearly!$D:$AM, 10, FALSE), 1)</f>
        <v>1.2657851728112327E-2</v>
      </c>
      <c r="Z2" s="7">
        <f>$B2 * IFERROR(VLOOKUP("electricity|PM25|Premature mortality", US_national_yearly!$D:$AM, 34, FALSE) / VLOOKUP("electricity|PM25|Premature mortality", US_national_yearly!$D:$AM, 10, FALSE), 1)</f>
        <v>1.2678229142924151E-2</v>
      </c>
      <c r="AA2" s="7">
        <f>$B2 * IFERROR(VLOOKUP("electricity|PM25|Premature mortality", US_national_yearly!$D:$AM, 35, FALSE) / VLOOKUP("electricity|PM25|Premature mortality", US_national_yearly!$D:$AM, 10, FALSE), 1)</f>
        <v>1.2698606557735978E-2</v>
      </c>
      <c r="AB2" s="7">
        <f>$B2 * IFERROR(VLOOKUP("electricity|PM25|Premature mortality", US_national_yearly!$D:$AM, 36, FALSE) / VLOOKUP("electricity|PM25|Premature mortality", US_national_yearly!$D:$AM, 10, FALSE), 1)</f>
        <v>1.2718983972547804E-2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2.5296042492228723E-5</v>
      </c>
      <c r="C3" s="7">
        <f>$B3 * IFERROR(VLOOKUP("electricity|PM25|Infant mortality", US_national_yearly!$D:$AM, 11, FALSE) / VLOOKUP("electricity|PM25|Infant mortality", US_national_yearly!$D:$AM, 10, FALSE), 1)</f>
        <v>2.5075638137711912E-5</v>
      </c>
      <c r="D3" s="7">
        <f>$B3 * IFERROR(VLOOKUP("electricity|PM25|Infant mortality", US_national_yearly!$D:$AM, 12, FALSE) / VLOOKUP("electricity|PM25|Infant mortality", US_national_yearly!$D:$AM, 10, FALSE), 1)</f>
        <v>2.4855233783195105E-5</v>
      </c>
      <c r="E3" s="7">
        <f>$B3 * IFERROR(VLOOKUP("electricity|PM25|Infant mortality", US_national_yearly!$D:$AM, 13, FALSE) / VLOOKUP("electricity|PM25|Infant mortality", US_national_yearly!$D:$AM, 10, FALSE), 1)</f>
        <v>2.4634829428678292E-5</v>
      </c>
      <c r="F3" s="7">
        <f>$B3 * IFERROR(VLOOKUP("electricity|PM25|Infant mortality", US_national_yearly!$D:$AM, 14, FALSE) / VLOOKUP("electricity|PM25|Infant mortality", US_national_yearly!$D:$AM, 10, FALSE), 1)</f>
        <v>2.4414425074161481E-5</v>
      </c>
      <c r="G3" s="7">
        <f>$B3 * IFERROR(VLOOKUP("electricity|PM25|Infant mortality", US_national_yearly!$D:$AM, 15, FALSE) / VLOOKUP("electricity|PM25|Infant mortality", US_national_yearly!$D:$AM, 10, FALSE), 1)</f>
        <v>1.6190885750234456E-5</v>
      </c>
      <c r="H3" s="7">
        <f>$B3 * IFERROR(VLOOKUP("electricity|PM25|Infant mortality", US_national_yearly!$D:$AM, 16, FALSE) / VLOOKUP("electricity|PM25|Infant mortality", US_national_yearly!$D:$AM, 10, FALSE), 1)</f>
        <v>7.9673464263074336E-6</v>
      </c>
      <c r="I3" s="7">
        <f>$B3 * IFERROR(VLOOKUP("electricity|PM25|Infant mortality", US_national_yearly!$D:$AM, 17, FALSE) / VLOOKUP("electricity|PM25|Infant mortality", US_national_yearly!$D:$AM, 10, FALSE), 1)</f>
        <v>7.9110933097056764E-6</v>
      </c>
      <c r="J3" s="7">
        <f>$B3 * IFERROR(VLOOKUP("electricity|PM25|Infant mortality", US_national_yearly!$D:$AM, 18, FALSE) / VLOOKUP("electricity|PM25|Infant mortality", US_national_yearly!$D:$AM, 10, FALSE), 1)</f>
        <v>7.8548401931039226E-6</v>
      </c>
      <c r="K3" s="7">
        <f>$B3 * IFERROR(VLOOKUP("electricity|PM25|Infant mortality", US_national_yearly!$D:$AM, 19, FALSE) / VLOOKUP("electricity|PM25|Infant mortality", US_national_yearly!$D:$AM, 10, FALSE), 1)</f>
        <v>7.7985870765021655E-6</v>
      </c>
      <c r="L3" s="7">
        <f>$B3 * IFERROR(VLOOKUP("electricity|PM25|Infant mortality", US_national_yearly!$D:$AM, 20, FALSE) / VLOOKUP("electricity|PM25|Infant mortality", US_national_yearly!$D:$AM, 10, FALSE), 1)</f>
        <v>7.7423339599004117E-6</v>
      </c>
      <c r="M3" s="7">
        <f>$B3 * IFERROR(VLOOKUP("electricity|PM25|Infant mortality", US_national_yearly!$D:$AM, 21, FALSE) / VLOOKUP("electricity|PM25|Infant mortality", US_national_yearly!$D:$AM, 10, FALSE), 1)</f>
        <v>7.6860808432986562E-6</v>
      </c>
      <c r="N3" s="7">
        <f>$B3 * IFERROR(VLOOKUP("electricity|PM25|Infant mortality", US_national_yearly!$D:$AM, 22, FALSE) / VLOOKUP("electricity|PM25|Infant mortality", US_national_yearly!$D:$AM, 10, FALSE), 1)</f>
        <v>7.6499026207271549E-6</v>
      </c>
      <c r="O3" s="7">
        <f>$B3 * IFERROR(VLOOKUP("electricity|PM25|Infant mortality", US_national_yearly!$D:$AM, 23, FALSE) / VLOOKUP("electricity|PM25|Infant mortality", US_national_yearly!$D:$AM, 10, FALSE), 1)</f>
        <v>7.6137243981556553E-6</v>
      </c>
      <c r="P3" s="7">
        <f>$B3 * IFERROR(VLOOKUP("electricity|PM25|Infant mortality", US_national_yearly!$D:$AM, 24, FALSE) / VLOOKUP("electricity|PM25|Infant mortality", US_national_yearly!$D:$AM, 10, FALSE), 1)</f>
        <v>7.5775461755841539E-6</v>
      </c>
      <c r="Q3" s="7">
        <f>$B3 * IFERROR(VLOOKUP("electricity|PM25|Infant mortality", US_national_yearly!$D:$AM, 25, FALSE) / VLOOKUP("electricity|PM25|Infant mortality", US_national_yearly!$D:$AM, 10, FALSE), 1)</f>
        <v>7.5413679530126534E-6</v>
      </c>
      <c r="R3" s="7">
        <f>$B3 * IFERROR(VLOOKUP("electricity|PM25|Infant mortality", US_national_yearly!$D:$AM, 26, FALSE) / VLOOKUP("electricity|PM25|Infant mortality", US_national_yearly!$D:$AM, 10, FALSE), 1)</f>
        <v>7.5051897304411521E-6</v>
      </c>
      <c r="S3" s="7">
        <f>$B3 * IFERROR(VLOOKUP("electricity|PM25|Infant mortality", US_national_yearly!$D:$AM, 27, FALSE) / VLOOKUP("electricity|PM25|Infant mortality", US_national_yearly!$D:$AM, 10, FALSE), 1)</f>
        <v>7.4618474113432233E-6</v>
      </c>
      <c r="T3" s="7">
        <f>$B3 * IFERROR(VLOOKUP("electricity|PM25|Infant mortality", US_national_yearly!$D:$AM, 28, FALSE) / VLOOKUP("electricity|PM25|Infant mortality", US_national_yearly!$D:$AM, 10, FALSE), 1)</f>
        <v>7.4185050922452953E-6</v>
      </c>
      <c r="U3" s="7">
        <f>$B3 * IFERROR(VLOOKUP("electricity|PM25|Infant mortality", US_national_yearly!$D:$AM, 29, FALSE) / VLOOKUP("electricity|PM25|Infant mortality", US_national_yearly!$D:$AM, 10, FALSE), 1)</f>
        <v>7.3751627731473681E-6</v>
      </c>
      <c r="V3" s="7">
        <f>$B3 * IFERROR(VLOOKUP("electricity|PM25|Infant mortality", US_national_yearly!$D:$AM, 30, FALSE) / VLOOKUP("electricity|PM25|Infant mortality", US_national_yearly!$D:$AM, 10, FALSE), 1)</f>
        <v>7.3318204540494402E-6</v>
      </c>
      <c r="W3" s="7">
        <f>$B3 * IFERROR(VLOOKUP("electricity|PM25|Infant mortality", US_national_yearly!$D:$AM, 31, FALSE) / VLOOKUP("electricity|PM25|Infant mortality", US_national_yearly!$D:$AM, 10, FALSE), 1)</f>
        <v>7.2884781349515113E-6</v>
      </c>
      <c r="X3" s="7">
        <f>$B3 * IFERROR(VLOOKUP("electricity|PM25|Infant mortality", US_national_yearly!$D:$AM, 32, FALSE) / VLOOKUP("electricity|PM25|Infant mortality", US_national_yearly!$D:$AM, 10, FALSE), 1)</f>
        <v>7.2436892596996957E-6</v>
      </c>
      <c r="Y3" s="7">
        <f>$B3 * IFERROR(VLOOKUP("electricity|PM25|Infant mortality", US_national_yearly!$D:$AM, 33, FALSE) / VLOOKUP("electricity|PM25|Infant mortality", US_national_yearly!$D:$AM, 10, FALSE), 1)</f>
        <v>7.1989003844478792E-6</v>
      </c>
      <c r="Z3" s="7">
        <f>$B3 * IFERROR(VLOOKUP("electricity|PM25|Infant mortality", US_national_yearly!$D:$AM, 34, FALSE) / VLOOKUP("electricity|PM25|Infant mortality", US_national_yearly!$D:$AM, 10, FALSE), 1)</f>
        <v>7.1541115091960627E-6</v>
      </c>
      <c r="AA3" s="7">
        <f>$B3 * IFERROR(VLOOKUP("electricity|PM25|Infant mortality", US_national_yearly!$D:$AM, 35, FALSE) / VLOOKUP("electricity|PM25|Infant mortality", US_national_yearly!$D:$AM, 10, FALSE), 1)</f>
        <v>7.109322633944247E-6</v>
      </c>
      <c r="AB3" s="7">
        <f>$B3 * IFERROR(VLOOKUP("electricity|PM25|Infant mortality", US_national_yearly!$D:$AM, 36, FALSE) / VLOOKUP("electricity|PM25|Infant mortality", US_national_yearly!$D:$AM, 10, FALSE), 1)</f>
        <v>7.0645337586924305E-6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2.2483952938359267E-2</v>
      </c>
      <c r="C6" s="7">
        <f>$B6 * IFERROR(VLOOKUP("electricity|PM25|Asthma symptoms cough", US_national_yearly!$D:$AM, 11, FALSE) / VLOOKUP("electricity|PM25|Asthma symptoms cough", US_national_yearly!$D:$AM, 10, FALSE), 1)</f>
        <v>2.2483952938359267E-2</v>
      </c>
      <c r="D6" s="7">
        <f>$B6 * IFERROR(VLOOKUP("electricity|PM25|Asthma symptoms cough", US_national_yearly!$D:$AM, 12, FALSE) / VLOOKUP("electricity|PM25|Asthma symptoms cough", US_national_yearly!$D:$AM, 10, FALSE), 1)</f>
        <v>2.2483952938359267E-2</v>
      </c>
      <c r="E6" s="7">
        <f>$B6 * IFERROR(VLOOKUP("electricity|PM25|Asthma symptoms cough", US_national_yearly!$D:$AM, 13, FALSE) / VLOOKUP("electricity|PM25|Asthma symptoms cough", US_national_yearly!$D:$AM, 10, FALSE), 1)</f>
        <v>2.2483952938359267E-2</v>
      </c>
      <c r="F6" s="7">
        <f>$B6 * IFERROR(VLOOKUP("electricity|PM25|Asthma symptoms cough", US_national_yearly!$D:$AM, 14, FALSE) / VLOOKUP("electricity|PM25|Asthma symptoms cough", US_national_yearly!$D:$AM, 10, FALSE), 1)</f>
        <v>2.2483952938359267E-2</v>
      </c>
      <c r="G6" s="7">
        <f>$B6 * IFERROR(VLOOKUP("electricity|PM25|Asthma symptoms cough", US_national_yearly!$D:$AM, 15, FALSE) / VLOOKUP("electricity|PM25|Asthma symptoms cough", US_national_yearly!$D:$AM, 10, FALSE), 1)</f>
        <v>2.2483952938359267E-2</v>
      </c>
      <c r="H6" s="7">
        <f>$B6 * IFERROR(VLOOKUP("electricity|PM25|Asthma symptoms cough", US_national_yearly!$D:$AM, 16, FALSE) / VLOOKUP("electricity|PM25|Asthma symptoms cough", US_national_yearly!$D:$AM, 10, FALSE), 1)</f>
        <v>2.2483952938359267E-2</v>
      </c>
      <c r="I6" s="7">
        <f>$B6 * IFERROR(VLOOKUP("electricity|PM25|Asthma symptoms cough", US_national_yearly!$D:$AM, 17, FALSE) / VLOOKUP("electricity|PM25|Asthma symptoms cough", US_national_yearly!$D:$AM, 10, FALSE), 1)</f>
        <v>2.2483952938359267E-2</v>
      </c>
      <c r="J6" s="7">
        <f>$B6 * IFERROR(VLOOKUP("electricity|PM25|Asthma symptoms cough", US_national_yearly!$D:$AM, 18, FALSE) / VLOOKUP("electricity|PM25|Asthma symptoms cough", US_national_yearly!$D:$AM, 10, FALSE), 1)</f>
        <v>2.2483952938359267E-2</v>
      </c>
      <c r="K6" s="7">
        <f>$B6 * IFERROR(VLOOKUP("electricity|PM25|Asthma symptoms cough", US_national_yearly!$D:$AM, 19, FALSE) / VLOOKUP("electricity|PM25|Asthma symptoms cough", US_national_yearly!$D:$AM, 10, FALSE), 1)</f>
        <v>2.2483952938359267E-2</v>
      </c>
      <c r="L6" s="7">
        <f>$B6 * IFERROR(VLOOKUP("electricity|PM25|Asthma symptoms cough", US_national_yearly!$D:$AM, 20, FALSE) / VLOOKUP("electricity|PM25|Asthma symptoms cough", US_national_yearly!$D:$AM, 10, FALSE), 1)</f>
        <v>2.2483952938359267E-2</v>
      </c>
      <c r="M6" s="7">
        <f>$B6 * IFERROR(VLOOKUP("electricity|PM25|Asthma symptoms cough", US_national_yearly!$D:$AM, 21, FALSE) / VLOOKUP("electricity|PM25|Asthma symptoms cough", US_national_yearly!$D:$AM, 10, FALSE), 1)</f>
        <v>2.2483952938359267E-2</v>
      </c>
      <c r="N6" s="7">
        <f>$B6 * IFERROR(VLOOKUP("electricity|PM25|Asthma symptoms cough", US_national_yearly!$D:$AM, 22, FALSE) / VLOOKUP("electricity|PM25|Asthma symptoms cough", US_national_yearly!$D:$AM, 10, FALSE), 1)</f>
        <v>2.2483952938359267E-2</v>
      </c>
      <c r="O6" s="7">
        <f>$B6 * IFERROR(VLOOKUP("electricity|PM25|Asthma symptoms cough", US_national_yearly!$D:$AM, 23, FALSE) / VLOOKUP("electricity|PM25|Asthma symptoms cough", US_national_yearly!$D:$AM, 10, FALSE), 1)</f>
        <v>2.2483952938359267E-2</v>
      </c>
      <c r="P6" s="7">
        <f>$B6 * IFERROR(VLOOKUP("electricity|PM25|Asthma symptoms cough", US_national_yearly!$D:$AM, 24, FALSE) / VLOOKUP("electricity|PM25|Asthma symptoms cough", US_national_yearly!$D:$AM, 10, FALSE), 1)</f>
        <v>2.2483952938359267E-2</v>
      </c>
      <c r="Q6" s="7">
        <f>$B6 * IFERROR(VLOOKUP("electricity|PM25|Asthma symptoms cough", US_national_yearly!$D:$AM, 25, FALSE) / VLOOKUP("electricity|PM25|Asthma symptoms cough", US_national_yearly!$D:$AM, 10, FALSE), 1)</f>
        <v>2.2483952938359267E-2</v>
      </c>
      <c r="R6" s="7">
        <f>$B6 * IFERROR(VLOOKUP("electricity|PM25|Asthma symptoms cough", US_national_yearly!$D:$AM, 26, FALSE) / VLOOKUP("electricity|PM25|Asthma symptoms cough", US_national_yearly!$D:$AM, 10, FALSE), 1)</f>
        <v>2.2483952938359267E-2</v>
      </c>
      <c r="S6" s="7">
        <f>$B6 * IFERROR(VLOOKUP("electricity|PM25|Asthma symptoms cough", US_national_yearly!$D:$AM, 27, FALSE) / VLOOKUP("electricity|PM25|Asthma symptoms cough", US_national_yearly!$D:$AM, 10, FALSE), 1)</f>
        <v>2.2483952938359267E-2</v>
      </c>
      <c r="T6" s="7">
        <f>$B6 * IFERROR(VLOOKUP("electricity|PM25|Asthma symptoms cough", US_national_yearly!$D:$AM, 28, FALSE) / VLOOKUP("electricity|PM25|Asthma symptoms cough", US_national_yearly!$D:$AM, 10, FALSE), 1)</f>
        <v>2.2483952938359267E-2</v>
      </c>
      <c r="U6" s="7">
        <f>$B6 * IFERROR(VLOOKUP("electricity|PM25|Asthma symptoms cough", US_national_yearly!$D:$AM, 29, FALSE) / VLOOKUP("electricity|PM25|Asthma symptoms cough", US_national_yearly!$D:$AM, 10, FALSE), 1)</f>
        <v>2.2483952938359267E-2</v>
      </c>
      <c r="V6" s="7">
        <f>$B6 * IFERROR(VLOOKUP("electricity|PM25|Asthma symptoms cough", US_national_yearly!$D:$AM, 30, FALSE) / VLOOKUP("electricity|PM25|Asthma symptoms cough", US_national_yearly!$D:$AM, 10, FALSE), 1)</f>
        <v>2.2483952938359267E-2</v>
      </c>
      <c r="W6" s="7">
        <f>$B6 * IFERROR(VLOOKUP("electricity|PM25|Asthma symptoms cough", US_national_yearly!$D:$AM, 31, FALSE) / VLOOKUP("electricity|PM25|Asthma symptoms cough", US_national_yearly!$D:$AM, 10, FALSE), 1)</f>
        <v>2.2483952938359267E-2</v>
      </c>
      <c r="X6" s="7">
        <f>$B6 * IFERROR(VLOOKUP("electricity|PM25|Asthma symptoms cough", US_national_yearly!$D:$AM, 32, FALSE) / VLOOKUP("electricity|PM25|Asthma symptoms cough", US_national_yearly!$D:$AM, 10, FALSE), 1)</f>
        <v>2.2483952938359267E-2</v>
      </c>
      <c r="Y6" s="7">
        <f>$B6 * IFERROR(VLOOKUP("electricity|PM25|Asthma symptoms cough", US_national_yearly!$D:$AM, 33, FALSE) / VLOOKUP("electricity|PM25|Asthma symptoms cough", US_national_yearly!$D:$AM, 10, FALSE), 1)</f>
        <v>2.2483952938359267E-2</v>
      </c>
      <c r="Z6" s="7">
        <f>$B6 * IFERROR(VLOOKUP("electricity|PM25|Asthma symptoms cough", US_national_yearly!$D:$AM, 34, FALSE) / VLOOKUP("electricity|PM25|Asthma symptoms cough", US_national_yearly!$D:$AM, 10, FALSE), 1)</f>
        <v>2.2483952938359267E-2</v>
      </c>
      <c r="AA6" s="7">
        <f>$B6 * IFERROR(VLOOKUP("electricity|PM25|Asthma symptoms cough", US_national_yearly!$D:$AM, 35, FALSE) / VLOOKUP("electricity|PM25|Asthma symptoms cough", US_national_yearly!$D:$AM, 10, FALSE), 1)</f>
        <v>2.2483952938359267E-2</v>
      </c>
      <c r="AB6" s="7">
        <f>$B6 * IFERROR(VLOOKUP("electricity|PM25|Asthma symptoms cough", US_national_yearly!$D:$AM, 36, FALSE) / VLOOKUP("electricity|PM25|Asthma symptoms cough", US_national_yearly!$D:$AM, 10, FALSE), 1)</f>
        <v>2.2483952938359267E-2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3.0277769083034946E-2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3.0277769083034946E-2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3.0277769083034946E-2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3.0277769083034946E-2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3.0277769083034946E-2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3.0277769083034946E-2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3.0277769083034946E-2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3.0277769083034946E-2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3.0277769083034946E-2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3.0277769083034946E-2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3.0277769083034946E-2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3.0277769083034946E-2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3.0277769083034946E-2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3.0277769083034946E-2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3.0277769083034946E-2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3.0277769083034946E-2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3.0277769083034946E-2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3.0277769083034946E-2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3.0277769083034946E-2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3.0277769083034946E-2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3.0277769083034946E-2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3.0277769083034946E-2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3.0277769083034946E-2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3.0277769083034946E-2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3.0277769083034946E-2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3.0277769083034946E-2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3.0277769083034946E-2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4.6259785130466663E-2</v>
      </c>
      <c r="C8" s="7">
        <f>$B8 * IFERROR(VLOOKUP("electricity|PM25|Asthma symptoms wheeze", US_national_yearly!$D:$AM, 11, FALSE) / VLOOKUP("electricity|PM25|Asthma symptoms wheeze", US_national_yearly!$D:$AM, 10, FALSE), 1)</f>
        <v>4.6259785130466663E-2</v>
      </c>
      <c r="D8" s="7">
        <f>$B8 * IFERROR(VLOOKUP("electricity|PM25|Asthma symptoms wheeze", US_national_yearly!$D:$AM, 12, FALSE) / VLOOKUP("electricity|PM25|Asthma symptoms wheeze", US_national_yearly!$D:$AM, 10, FALSE), 1)</f>
        <v>4.6259785130466663E-2</v>
      </c>
      <c r="E8" s="7">
        <f>$B8 * IFERROR(VLOOKUP("electricity|PM25|Asthma symptoms wheeze", US_national_yearly!$D:$AM, 13, FALSE) / VLOOKUP("electricity|PM25|Asthma symptoms wheeze", US_national_yearly!$D:$AM, 10, FALSE), 1)</f>
        <v>4.6259785130466663E-2</v>
      </c>
      <c r="F8" s="7">
        <f>$B8 * IFERROR(VLOOKUP("electricity|PM25|Asthma symptoms wheeze", US_national_yearly!$D:$AM, 14, FALSE) / VLOOKUP("electricity|PM25|Asthma symptoms wheeze", US_national_yearly!$D:$AM, 10, FALSE), 1)</f>
        <v>4.6259785130466663E-2</v>
      </c>
      <c r="G8" s="7">
        <f>$B8 * IFERROR(VLOOKUP("electricity|PM25|Asthma symptoms wheeze", US_national_yearly!$D:$AM, 15, FALSE) / VLOOKUP("electricity|PM25|Asthma symptoms wheeze", US_national_yearly!$D:$AM, 10, FALSE), 1)</f>
        <v>4.6259785130466663E-2</v>
      </c>
      <c r="H8" s="7">
        <f>$B8 * IFERROR(VLOOKUP("electricity|PM25|Asthma symptoms wheeze", US_national_yearly!$D:$AM, 16, FALSE) / VLOOKUP("electricity|PM25|Asthma symptoms wheeze", US_national_yearly!$D:$AM, 10, FALSE), 1)</f>
        <v>4.6259785130466663E-2</v>
      </c>
      <c r="I8" s="7">
        <f>$B8 * IFERROR(VLOOKUP("electricity|PM25|Asthma symptoms wheeze", US_national_yearly!$D:$AM, 17, FALSE) / VLOOKUP("electricity|PM25|Asthma symptoms wheeze", US_national_yearly!$D:$AM, 10, FALSE), 1)</f>
        <v>4.6259785130466663E-2</v>
      </c>
      <c r="J8" s="7">
        <f>$B8 * IFERROR(VLOOKUP("electricity|PM25|Asthma symptoms wheeze", US_national_yearly!$D:$AM, 18, FALSE) / VLOOKUP("electricity|PM25|Asthma symptoms wheeze", US_national_yearly!$D:$AM, 10, FALSE), 1)</f>
        <v>4.6259785130466663E-2</v>
      </c>
      <c r="K8" s="7">
        <f>$B8 * IFERROR(VLOOKUP("electricity|PM25|Asthma symptoms wheeze", US_national_yearly!$D:$AM, 19, FALSE) / VLOOKUP("electricity|PM25|Asthma symptoms wheeze", US_national_yearly!$D:$AM, 10, FALSE), 1)</f>
        <v>4.6259785130466663E-2</v>
      </c>
      <c r="L8" s="7">
        <f>$B8 * IFERROR(VLOOKUP("electricity|PM25|Asthma symptoms wheeze", US_national_yearly!$D:$AM, 20, FALSE) / VLOOKUP("electricity|PM25|Asthma symptoms wheeze", US_national_yearly!$D:$AM, 10, FALSE), 1)</f>
        <v>4.6259785130466663E-2</v>
      </c>
      <c r="M8" s="7">
        <f>$B8 * IFERROR(VLOOKUP("electricity|PM25|Asthma symptoms wheeze", US_national_yearly!$D:$AM, 21, FALSE) / VLOOKUP("electricity|PM25|Asthma symptoms wheeze", US_national_yearly!$D:$AM, 10, FALSE), 1)</f>
        <v>4.6259785130466663E-2</v>
      </c>
      <c r="N8" s="7">
        <f>$B8 * IFERROR(VLOOKUP("electricity|PM25|Asthma symptoms wheeze", US_national_yearly!$D:$AM, 22, FALSE) / VLOOKUP("electricity|PM25|Asthma symptoms wheeze", US_national_yearly!$D:$AM, 10, FALSE), 1)</f>
        <v>4.6259785130466663E-2</v>
      </c>
      <c r="O8" s="7">
        <f>$B8 * IFERROR(VLOOKUP("electricity|PM25|Asthma symptoms wheeze", US_national_yearly!$D:$AM, 23, FALSE) / VLOOKUP("electricity|PM25|Asthma symptoms wheeze", US_national_yearly!$D:$AM, 10, FALSE), 1)</f>
        <v>4.6259785130466663E-2</v>
      </c>
      <c r="P8" s="7">
        <f>$B8 * IFERROR(VLOOKUP("electricity|PM25|Asthma symptoms wheeze", US_national_yearly!$D:$AM, 24, FALSE) / VLOOKUP("electricity|PM25|Asthma symptoms wheeze", US_national_yearly!$D:$AM, 10, FALSE), 1)</f>
        <v>4.6259785130466663E-2</v>
      </c>
      <c r="Q8" s="7">
        <f>$B8 * IFERROR(VLOOKUP("electricity|PM25|Asthma symptoms wheeze", US_national_yearly!$D:$AM, 25, FALSE) / VLOOKUP("electricity|PM25|Asthma symptoms wheeze", US_national_yearly!$D:$AM, 10, FALSE), 1)</f>
        <v>4.6259785130466663E-2</v>
      </c>
      <c r="R8" s="7">
        <f>$B8 * IFERROR(VLOOKUP("electricity|PM25|Asthma symptoms wheeze", US_national_yearly!$D:$AM, 26, FALSE) / VLOOKUP("electricity|PM25|Asthma symptoms wheeze", US_national_yearly!$D:$AM, 10, FALSE), 1)</f>
        <v>4.6259785130466663E-2</v>
      </c>
      <c r="S8" s="7">
        <f>$B8 * IFERROR(VLOOKUP("electricity|PM25|Asthma symptoms wheeze", US_national_yearly!$D:$AM, 27, FALSE) / VLOOKUP("electricity|PM25|Asthma symptoms wheeze", US_national_yearly!$D:$AM, 10, FALSE), 1)</f>
        <v>4.6259785130466663E-2</v>
      </c>
      <c r="T8" s="7">
        <f>$B8 * IFERROR(VLOOKUP("electricity|PM25|Asthma symptoms wheeze", US_national_yearly!$D:$AM, 28, FALSE) / VLOOKUP("electricity|PM25|Asthma symptoms wheeze", US_national_yearly!$D:$AM, 10, FALSE), 1)</f>
        <v>4.6259785130466663E-2</v>
      </c>
      <c r="U8" s="7">
        <f>$B8 * IFERROR(VLOOKUP("electricity|PM25|Asthma symptoms wheeze", US_national_yearly!$D:$AM, 29, FALSE) / VLOOKUP("electricity|PM25|Asthma symptoms wheeze", US_national_yearly!$D:$AM, 10, FALSE), 1)</f>
        <v>4.6259785130466663E-2</v>
      </c>
      <c r="V8" s="7">
        <f>$B8 * IFERROR(VLOOKUP("electricity|PM25|Asthma symptoms wheeze", US_national_yearly!$D:$AM, 30, FALSE) / VLOOKUP("electricity|PM25|Asthma symptoms wheeze", US_national_yearly!$D:$AM, 10, FALSE), 1)</f>
        <v>4.6259785130466663E-2</v>
      </c>
      <c r="W8" s="7">
        <f>$B8 * IFERROR(VLOOKUP("electricity|PM25|Asthma symptoms wheeze", US_national_yearly!$D:$AM, 31, FALSE) / VLOOKUP("electricity|PM25|Asthma symptoms wheeze", US_national_yearly!$D:$AM, 10, FALSE), 1)</f>
        <v>4.6259785130466663E-2</v>
      </c>
      <c r="X8" s="7">
        <f>$B8 * IFERROR(VLOOKUP("electricity|PM25|Asthma symptoms wheeze", US_national_yearly!$D:$AM, 32, FALSE) / VLOOKUP("electricity|PM25|Asthma symptoms wheeze", US_national_yearly!$D:$AM, 10, FALSE), 1)</f>
        <v>4.6259785130466663E-2</v>
      </c>
      <c r="Y8" s="7">
        <f>$B8 * IFERROR(VLOOKUP("electricity|PM25|Asthma symptoms wheeze", US_national_yearly!$D:$AM, 33, FALSE) / VLOOKUP("electricity|PM25|Asthma symptoms wheeze", US_national_yearly!$D:$AM, 10, FALSE), 1)</f>
        <v>4.6259785130466663E-2</v>
      </c>
      <c r="Z8" s="7">
        <f>$B8 * IFERROR(VLOOKUP("electricity|PM25|Asthma symptoms wheeze", US_national_yearly!$D:$AM, 34, FALSE) / VLOOKUP("electricity|PM25|Asthma symptoms wheeze", US_national_yearly!$D:$AM, 10, FALSE), 1)</f>
        <v>4.6259785130466663E-2</v>
      </c>
      <c r="AA8" s="7">
        <f>$B8 * IFERROR(VLOOKUP("electricity|PM25|Asthma symptoms wheeze", US_national_yearly!$D:$AM, 35, FALSE) / VLOOKUP("electricity|PM25|Asthma symptoms wheeze", US_national_yearly!$D:$AM, 10, FALSE), 1)</f>
        <v>4.6259785130466663E-2</v>
      </c>
      <c r="AB8" s="7">
        <f>$B8 * IFERROR(VLOOKUP("electricity|PM25|Asthma symptoms wheeze", US_national_yearly!$D:$AM, 36, FALSE) / VLOOKUP("electricity|PM25|Asthma symptoms wheeze", US_national_yearly!$D:$AM, 10, FALSE), 1)</f>
        <v>4.6259785130466663E-2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6.636622359129415E-4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6.6730964276625184E-4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6.7095704961956195E-4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6.7460445647287239E-4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6.7825186332618262E-4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6.8216179381704392E-4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6.8607172430790533E-4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6.8956484776721064E-4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6.9305797122651584E-4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6.9655109468582104E-4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7.0004421814512624E-4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7.0353734160443165E-4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7.0589357741620608E-4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7.082498132279806E-4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7.1060604903975524E-4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7.1296228485152966E-4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7.1531852066330419E-4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7.1751420291595318E-4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7.1970988516860195E-4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7.2190556742125073E-4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7.2410124967389961E-4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7.2629693192654827E-4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7.2846804353856871E-4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7.3063915515058904E-4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7.3281026676260926E-4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7.3498137837462959E-4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7.3715248998665003E-4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4.0894384422887637E-3</v>
      </c>
      <c r="C13" s="7">
        <f>$B13 * IFERROR(VLOOKUP("electricity|PM25|Non-fatal heart attacks", US_national_yearly!$D:$AM, 11, FALSE) / VLOOKUP("electricity|PM25|Non-fatal heart attacks", US_national_yearly!$D:$AM, 10, FALSE), 1)</f>
        <v>4.207888298123472E-3</v>
      </c>
      <c r="D13" s="7">
        <f>$B13 * IFERROR(VLOOKUP("electricity|PM25|Non-fatal heart attacks", US_national_yearly!$D:$AM, 12, FALSE) / VLOOKUP("electricity|PM25|Non-fatal heart attacks", US_national_yearly!$D:$AM, 10, FALSE), 1)</f>
        <v>4.3263381539581803E-3</v>
      </c>
      <c r="E13" s="7">
        <f>$B13 * IFERROR(VLOOKUP("electricity|PM25|Non-fatal heart attacks", US_national_yearly!$D:$AM, 13, FALSE) / VLOOKUP("electricity|PM25|Non-fatal heart attacks", US_national_yearly!$D:$AM, 10, FALSE), 1)</f>
        <v>4.4447880097928877E-3</v>
      </c>
      <c r="F13" s="7">
        <f>$B13 * IFERROR(VLOOKUP("electricity|PM25|Non-fatal heart attacks", US_national_yearly!$D:$AM, 14, FALSE) / VLOOKUP("electricity|PM25|Non-fatal heart attacks", US_national_yearly!$D:$AM, 10, FALSE), 1)</f>
        <v>4.563237865627596E-3</v>
      </c>
      <c r="G13" s="7">
        <f>$B13 * IFERROR(VLOOKUP("electricity|PM25|Non-fatal heart attacks", US_national_yearly!$D:$AM, 15, FALSE) / VLOOKUP("electricity|PM25|Non-fatal heart attacks", US_national_yearly!$D:$AM, 10, FALSE), 1)</f>
        <v>4.6756665594462283E-3</v>
      </c>
      <c r="H13" s="7">
        <f>$B13 * IFERROR(VLOOKUP("electricity|PM25|Non-fatal heart attacks", US_national_yearly!$D:$AM, 16, FALSE) / VLOOKUP("electricity|PM25|Non-fatal heart attacks", US_national_yearly!$D:$AM, 10, FALSE), 1)</f>
        <v>4.7880952532648596E-3</v>
      </c>
      <c r="I13" s="7">
        <f>$B13 * IFERROR(VLOOKUP("electricity|PM25|Non-fatal heart attacks", US_national_yearly!$D:$AM, 17, FALSE) / VLOOKUP("electricity|PM25|Non-fatal heart attacks", US_national_yearly!$D:$AM, 10, FALSE), 1)</f>
        <v>4.8798237945849674E-3</v>
      </c>
      <c r="J13" s="7">
        <f>$B13 * IFERROR(VLOOKUP("electricity|PM25|Non-fatal heart attacks", US_national_yearly!$D:$AM, 18, FALSE) / VLOOKUP("electricity|PM25|Non-fatal heart attacks", US_national_yearly!$D:$AM, 10, FALSE), 1)</f>
        <v>4.9715523359050752E-3</v>
      </c>
      <c r="K13" s="7">
        <f>$B13 * IFERROR(VLOOKUP("electricity|PM25|Non-fatal heart attacks", US_national_yearly!$D:$AM, 19, FALSE) / VLOOKUP("electricity|PM25|Non-fatal heart attacks", US_national_yearly!$D:$AM, 10, FALSE), 1)</f>
        <v>5.063280877225183E-3</v>
      </c>
      <c r="L13" s="7">
        <f>$B13 * IFERROR(VLOOKUP("electricity|PM25|Non-fatal heart attacks", US_national_yearly!$D:$AM, 20, FALSE) / VLOOKUP("electricity|PM25|Non-fatal heart attacks", US_national_yearly!$D:$AM, 10, FALSE), 1)</f>
        <v>5.1550094185452899E-3</v>
      </c>
      <c r="M13" s="7">
        <f>$B13 * IFERROR(VLOOKUP("electricity|PM25|Non-fatal heart attacks", US_national_yearly!$D:$AM, 21, FALSE) / VLOOKUP("electricity|PM25|Non-fatal heart attacks", US_national_yearly!$D:$AM, 10, FALSE), 1)</f>
        <v>5.2467379598653986E-3</v>
      </c>
      <c r="N13" s="7">
        <f>$B13 * IFERROR(VLOOKUP("electricity|PM25|Non-fatal heart attacks", US_national_yearly!$D:$AM, 22, FALSE) / VLOOKUP("electricity|PM25|Non-fatal heart attacks", US_national_yearly!$D:$AM, 10, FALSE), 1)</f>
        <v>5.3062579416848074E-3</v>
      </c>
      <c r="O13" s="7">
        <f>$B13 * IFERROR(VLOOKUP("electricity|PM25|Non-fatal heart attacks", US_national_yearly!$D:$AM, 23, FALSE) / VLOOKUP("electricity|PM25|Non-fatal heart attacks", US_national_yearly!$D:$AM, 10, FALSE), 1)</f>
        <v>5.3657779235042162E-3</v>
      </c>
      <c r="P13" s="7">
        <f>$B13 * IFERROR(VLOOKUP("electricity|PM25|Non-fatal heart attacks", US_national_yearly!$D:$AM, 24, FALSE) / VLOOKUP("electricity|PM25|Non-fatal heart attacks", US_national_yearly!$D:$AM, 10, FALSE), 1)</f>
        <v>5.4252979053236242E-3</v>
      </c>
      <c r="Q13" s="7">
        <f>$B13 * IFERROR(VLOOKUP("electricity|PM25|Non-fatal heart attacks", US_national_yearly!$D:$AM, 25, FALSE) / VLOOKUP("electricity|PM25|Non-fatal heart attacks", US_national_yearly!$D:$AM, 10, FALSE), 1)</f>
        <v>5.484817887143033E-3</v>
      </c>
      <c r="R13" s="7">
        <f>$B13 * IFERROR(VLOOKUP("electricity|PM25|Non-fatal heart attacks", US_national_yearly!$D:$AM, 26, FALSE) / VLOOKUP("electricity|PM25|Non-fatal heart attacks", US_national_yearly!$D:$AM, 10, FALSE), 1)</f>
        <v>5.5443378689624418E-3</v>
      </c>
      <c r="S13" s="7">
        <f>$B13 * IFERROR(VLOOKUP("electricity|PM25|Non-fatal heart attacks", US_national_yearly!$D:$AM, 27, FALSE) / VLOOKUP("electricity|PM25|Non-fatal heart attacks", US_national_yearly!$D:$AM, 10, FALSE), 1)</f>
        <v>5.5771051480343128E-3</v>
      </c>
      <c r="T13" s="7">
        <f>$B13 * IFERROR(VLOOKUP("electricity|PM25|Non-fatal heart attacks", US_national_yearly!$D:$AM, 28, FALSE) / VLOOKUP("electricity|PM25|Non-fatal heart attacks", US_national_yearly!$D:$AM, 10, FALSE), 1)</f>
        <v>5.6098724271061847E-3</v>
      </c>
      <c r="U13" s="7">
        <f>$B13 * IFERROR(VLOOKUP("electricity|PM25|Non-fatal heart attacks", US_national_yearly!$D:$AM, 29, FALSE) / VLOOKUP("electricity|PM25|Non-fatal heart attacks", US_national_yearly!$D:$AM, 10, FALSE), 1)</f>
        <v>5.6426397061780558E-3</v>
      </c>
      <c r="V13" s="7">
        <f>$B13 * IFERROR(VLOOKUP("electricity|PM25|Non-fatal heart attacks", US_national_yearly!$D:$AM, 30, FALSE) / VLOOKUP("electricity|PM25|Non-fatal heart attacks", US_national_yearly!$D:$AM, 10, FALSE), 1)</f>
        <v>5.6754069852499259E-3</v>
      </c>
      <c r="W13" s="7">
        <f>$B13 * IFERROR(VLOOKUP("electricity|PM25|Non-fatal heart attacks", US_national_yearly!$D:$AM, 31, FALSE) / VLOOKUP("electricity|PM25|Non-fatal heart attacks", US_national_yearly!$D:$AM, 10, FALSE), 1)</f>
        <v>5.7081742643217978E-3</v>
      </c>
      <c r="X13" s="7">
        <f>$B13 * IFERROR(VLOOKUP("electricity|PM25|Non-fatal heart attacks", US_national_yearly!$D:$AM, 32, FALSE) / VLOOKUP("electricity|PM25|Non-fatal heart attacks", US_national_yearly!$D:$AM, 10, FALSE), 1)</f>
        <v>5.7338086239901078E-3</v>
      </c>
      <c r="Y13" s="7">
        <f>$B13 * IFERROR(VLOOKUP("electricity|PM25|Non-fatal heart attacks", US_national_yearly!$D:$AM, 33, FALSE) / VLOOKUP("electricity|PM25|Non-fatal heart attacks", US_national_yearly!$D:$AM, 10, FALSE), 1)</f>
        <v>5.7594429836584186E-3</v>
      </c>
      <c r="Z13" s="7">
        <f>$B13 * IFERROR(VLOOKUP("electricity|PM25|Non-fatal heart attacks", US_national_yearly!$D:$AM, 34, FALSE) / VLOOKUP("electricity|PM25|Non-fatal heart attacks", US_national_yearly!$D:$AM, 10, FALSE), 1)</f>
        <v>5.7850773433267277E-3</v>
      </c>
      <c r="AA13" s="7">
        <f>$B13 * IFERROR(VLOOKUP("electricity|PM25|Non-fatal heart attacks", US_national_yearly!$D:$AM, 35, FALSE) / VLOOKUP("electricity|PM25|Non-fatal heart attacks", US_national_yearly!$D:$AM, 10, FALSE), 1)</f>
        <v>5.8107117029950394E-3</v>
      </c>
      <c r="AB13" s="7">
        <f>$B13 * IFERROR(VLOOKUP("electricity|PM25|Non-fatal heart attacks", US_national_yearly!$D:$AM, 36, FALSE) / VLOOKUP("electricity|PM25|Non-fatal heart attacks", US_national_yearly!$D:$AM, 10, FALSE), 1)</f>
        <v>5.8363460626633494E-3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2.8868544764053898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2.8932630992955715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2.8996717221857535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2.9060803450759347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2.9124889679661168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2.9219986217433642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2.9315082755206121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2.9482997345844706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2.9650911936483295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2.981882652712188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2.9986741117760474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3.0154655708399059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3.0387601672841384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3.0620547637283724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3.0853493601726059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3.1086439566168393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3.1319385530610724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3.1554340772113982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3.1789296013617232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3.2024251255120486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3.2259206496623745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3.2494161738126994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3.2695567422306806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3.2896973106486622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3.3098378790666443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3.329978447484625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3.3501190159026071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0.48726264656076962</v>
      </c>
      <c r="C15" s="7">
        <f>$B15 * IFERROR(VLOOKUP("electricity|PM25|Work loss days", US_national_yearly!$D:$AM, 11, FALSE) / VLOOKUP("electricity|PM25|Work loss days", US_national_yearly!$D:$AM, 10, FALSE), 1)</f>
        <v>0.48865697679006137</v>
      </c>
      <c r="D15" s="7">
        <f>$B15 * IFERROR(VLOOKUP("electricity|PM25|Work loss days", US_national_yearly!$D:$AM, 12, FALSE) / VLOOKUP("electricity|PM25|Work loss days", US_national_yearly!$D:$AM, 10, FALSE), 1)</f>
        <v>0.49005130701935318</v>
      </c>
      <c r="E15" s="7">
        <f>$B15 * IFERROR(VLOOKUP("electricity|PM25|Work loss days", US_national_yearly!$D:$AM, 13, FALSE) / VLOOKUP("electricity|PM25|Work loss days", US_national_yearly!$D:$AM, 10, FALSE), 1)</f>
        <v>0.49144563724864493</v>
      </c>
      <c r="F15" s="7">
        <f>$B15 * IFERROR(VLOOKUP("electricity|PM25|Work loss days", US_national_yearly!$D:$AM, 14, FALSE) / VLOOKUP("electricity|PM25|Work loss days", US_national_yearly!$D:$AM, 10, FALSE), 1)</f>
        <v>0.49283996747793662</v>
      </c>
      <c r="G15" s="7">
        <f>$B15 * IFERROR(VLOOKUP("electricity|PM25|Work loss days", US_national_yearly!$D:$AM, 15, FALSE) / VLOOKUP("electricity|PM25|Work loss days", US_national_yearly!$D:$AM, 10, FALSE), 1)</f>
        <v>0.49464625071225649</v>
      </c>
      <c r="H15" s="7">
        <f>$B15 * IFERROR(VLOOKUP("electricity|PM25|Work loss days", US_national_yearly!$D:$AM, 16, FALSE) / VLOOKUP("electricity|PM25|Work loss days", US_national_yearly!$D:$AM, 10, FALSE), 1)</f>
        <v>0.49645253394657646</v>
      </c>
      <c r="I15" s="7">
        <f>$B15 * IFERROR(VLOOKUP("electricity|PM25|Work loss days", US_national_yearly!$D:$AM, 17, FALSE) / VLOOKUP("electricity|PM25|Work loss days", US_national_yearly!$D:$AM, 10, FALSE), 1)</f>
        <v>0.49916797235003563</v>
      </c>
      <c r="J15" s="7">
        <f>$B15 * IFERROR(VLOOKUP("electricity|PM25|Work loss days", US_national_yearly!$D:$AM, 18, FALSE) / VLOOKUP("electricity|PM25|Work loss days", US_national_yearly!$D:$AM, 10, FALSE), 1)</f>
        <v>0.50188341075349463</v>
      </c>
      <c r="K15" s="7">
        <f>$B15 * IFERROR(VLOOKUP("electricity|PM25|Work loss days", US_national_yearly!$D:$AM, 19, FALSE) / VLOOKUP("electricity|PM25|Work loss days", US_national_yearly!$D:$AM, 10, FALSE), 1)</f>
        <v>0.50459884915695374</v>
      </c>
      <c r="L15" s="7">
        <f>$B15 * IFERROR(VLOOKUP("electricity|PM25|Work loss days", US_national_yearly!$D:$AM, 20, FALSE) / VLOOKUP("electricity|PM25|Work loss days", US_national_yearly!$D:$AM, 10, FALSE), 1)</f>
        <v>0.50731428756041286</v>
      </c>
      <c r="M15" s="7">
        <f>$B15 * IFERROR(VLOOKUP("electricity|PM25|Work loss days", US_national_yearly!$D:$AM, 21, FALSE) / VLOOKUP("electricity|PM25|Work loss days", US_national_yearly!$D:$AM, 10, FALSE), 1)</f>
        <v>0.51002972596387197</v>
      </c>
      <c r="N15" s="7">
        <f>$B15 * IFERROR(VLOOKUP("electricity|PM25|Work loss days", US_national_yearly!$D:$AM, 22, FALSE) / VLOOKUP("electricity|PM25|Work loss days", US_national_yearly!$D:$AM, 10, FALSE), 1)</f>
        <v>0.51353554545519453</v>
      </c>
      <c r="O15" s="7">
        <f>$B15 * IFERROR(VLOOKUP("electricity|PM25|Work loss days", US_national_yearly!$D:$AM, 23, FALSE) / VLOOKUP("electricity|PM25|Work loss days", US_national_yearly!$D:$AM, 10, FALSE), 1)</f>
        <v>0.51704136494651698</v>
      </c>
      <c r="P15" s="7">
        <f>$B15 * IFERROR(VLOOKUP("electricity|PM25|Work loss days", US_national_yearly!$D:$AM, 24, FALSE) / VLOOKUP("electricity|PM25|Work loss days", US_national_yearly!$D:$AM, 10, FALSE), 1)</f>
        <v>0.52054718443783943</v>
      </c>
      <c r="Q15" s="7">
        <f>$B15 * IFERROR(VLOOKUP("electricity|PM25|Work loss days", US_national_yearly!$D:$AM, 25, FALSE) / VLOOKUP("electricity|PM25|Work loss days", US_national_yearly!$D:$AM, 10, FALSE), 1)</f>
        <v>0.52405300392916176</v>
      </c>
      <c r="R15" s="7">
        <f>$B15 * IFERROR(VLOOKUP("electricity|PM25|Work loss days", US_national_yearly!$D:$AM, 26, FALSE) / VLOOKUP("electricity|PM25|Work loss days", US_national_yearly!$D:$AM, 10, FALSE), 1)</f>
        <v>0.52755882342048421</v>
      </c>
      <c r="S15" s="7">
        <f>$B15 * IFERROR(VLOOKUP("electricity|PM25|Work loss days", US_national_yearly!$D:$AM, 27, FALSE) / VLOOKUP("electricity|PM25|Work loss days", US_national_yearly!$D:$AM, 10, FALSE), 1)</f>
        <v>0.53144904509824797</v>
      </c>
      <c r="T15" s="7">
        <f>$B15 * IFERROR(VLOOKUP("electricity|PM25|Work loss days", US_national_yearly!$D:$AM, 28, FALSE) / VLOOKUP("electricity|PM25|Work loss days", US_national_yearly!$D:$AM, 10, FALSE), 1)</f>
        <v>0.53533926677601174</v>
      </c>
      <c r="U15" s="7">
        <f>$B15 * IFERROR(VLOOKUP("electricity|PM25|Work loss days", US_national_yearly!$D:$AM, 29, FALSE) / VLOOKUP("electricity|PM25|Work loss days", US_national_yearly!$D:$AM, 10, FALSE), 1)</f>
        <v>0.5392294884537755</v>
      </c>
      <c r="V15" s="7">
        <f>$B15 * IFERROR(VLOOKUP("electricity|PM25|Work loss days", US_national_yearly!$D:$AM, 30, FALSE) / VLOOKUP("electricity|PM25|Work loss days", US_national_yearly!$D:$AM, 10, FALSE), 1)</f>
        <v>0.54311971013153926</v>
      </c>
      <c r="W15" s="7">
        <f>$B15 * IFERROR(VLOOKUP("electricity|PM25|Work loss days", US_national_yearly!$D:$AM, 31, FALSE) / VLOOKUP("electricity|PM25|Work loss days", US_national_yearly!$D:$AM, 10, FALSE), 1)</f>
        <v>0.54700993180930291</v>
      </c>
      <c r="X15" s="7">
        <f>$B15 * IFERROR(VLOOKUP("electricity|PM25|Work loss days", US_national_yearly!$D:$AM, 32, FALSE) / VLOOKUP("electricity|PM25|Work loss days", US_national_yearly!$D:$AM, 10, FALSE), 1)</f>
        <v>0.55044174565797732</v>
      </c>
      <c r="Y15" s="7">
        <f>$B15 * IFERROR(VLOOKUP("electricity|PM25|Work loss days", US_national_yearly!$D:$AM, 33, FALSE) / VLOOKUP("electricity|PM25|Work loss days", US_national_yearly!$D:$AM, 10, FALSE), 1)</f>
        <v>0.5538735595066514</v>
      </c>
      <c r="Z15" s="7">
        <f>$B15 * IFERROR(VLOOKUP("electricity|PM25|Work loss days", US_national_yearly!$D:$AM, 34, FALSE) / VLOOKUP("electricity|PM25|Work loss days", US_national_yearly!$D:$AM, 10, FALSE), 1)</f>
        <v>0.5573053733553256</v>
      </c>
      <c r="AA15" s="7">
        <f>$B15 * IFERROR(VLOOKUP("electricity|PM25|Work loss days", US_national_yearly!$D:$AM, 35, FALSE) / VLOOKUP("electricity|PM25|Work loss days", US_national_yearly!$D:$AM, 10, FALSE), 1)</f>
        <v>0.56073718720400001</v>
      </c>
      <c r="AB15" s="7">
        <f>$B15 * IFERROR(VLOOKUP("electricity|PM25|Work loss days", US_national_yearly!$D:$AM, 36, FALSE) / VLOOKUP("electricity|PM25|Work loss days", US_national_yearly!$D:$AM, 10, FALSE), 1)</f>
        <v>0.5641690010526742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1.0565838746229501E-3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1.087937905128594E-3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1.1192919356342377E-3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1.1506459661398817E-3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1.1819999966455254E-3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1.2122409104258214E-3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1.2424818242061171E-3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1.2686789071473901E-3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1.2948759900886628E-3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1.3210730730299353E-3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1.347270155971208E-3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1.3734672389124805E-3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1.3910775185209082E-3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1.4086877981293357E-3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1.4262980777377632E-3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1.4439083573461909E-3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1.4615186369546181E-3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1.4712377737770151E-3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1.4809569105994117E-3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1.4906760474218087E-3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1.5003951842442055E-3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1.5101143210666022E-3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1.5168949172577799E-3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1.5236755134489576E-3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1.5304561096401352E-3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1.5372367058313131E-3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1.544017302022491E-3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2.3107838894845633E-4</v>
      </c>
      <c r="C2" s="7">
        <f>$B2 * IFERROR(VLOOKUP("electricity|NOx|Premature mortality", US_national_yearly!$D:$AM, 11, FALSE) / VLOOKUP("electricity|NOx|Premature mortality", US_national_yearly!$D:$AM, 10, FALSE), 1)</f>
        <v>2.3457475140935502E-4</v>
      </c>
      <c r="D2" s="7">
        <f>$B2 * IFERROR(VLOOKUP("electricity|NOx|Premature mortality", US_national_yearly!$D:$AM, 12, FALSE) / VLOOKUP("electricity|NOx|Premature mortality", US_national_yearly!$D:$AM, 10, FALSE), 1)</f>
        <v>2.3807111387025377E-4</v>
      </c>
      <c r="E2" s="7">
        <f>$B2 * IFERROR(VLOOKUP("electricity|NOx|Premature mortality", US_national_yearly!$D:$AM, 13, FALSE) / VLOOKUP("electricity|NOx|Premature mortality", US_national_yearly!$D:$AM, 10, FALSE), 1)</f>
        <v>2.4156747633115246E-4</v>
      </c>
      <c r="F2" s="7">
        <f>$B2 * IFERROR(VLOOKUP("electricity|NOx|Premature mortality", US_national_yearly!$D:$AM, 14, FALSE) / VLOOKUP("electricity|NOx|Premature mortality", US_national_yearly!$D:$AM, 10, FALSE), 1)</f>
        <v>2.4506383879205118E-4</v>
      </c>
      <c r="G2" s="7">
        <f>$B2 * IFERROR(VLOOKUP("electricity|NOx|Premature mortality", US_national_yearly!$D:$AM, 15, FALSE) / VLOOKUP("electricity|NOx|Premature mortality", US_national_yearly!$D:$AM, 10, FALSE), 1)</f>
        <v>2.5130962982756886E-4</v>
      </c>
      <c r="H2" s="7">
        <f>$B2 * IFERROR(VLOOKUP("electricity|NOx|Premature mortality", US_national_yearly!$D:$AM, 16, FALSE) / VLOOKUP("electricity|NOx|Premature mortality", US_national_yearly!$D:$AM, 10, FALSE), 1)</f>
        <v>2.5755542086308654E-4</v>
      </c>
      <c r="I2" s="7">
        <f>$B2 * IFERROR(VLOOKUP("electricity|NOx|Premature mortality", US_national_yearly!$D:$AM, 17, FALSE) / VLOOKUP("electricity|NOx|Premature mortality", US_national_yearly!$D:$AM, 10, FALSE), 1)</f>
        <v>2.6170600555082077E-4</v>
      </c>
      <c r="J2" s="7">
        <f>$B2 * IFERROR(VLOOKUP("electricity|NOx|Premature mortality", US_national_yearly!$D:$AM, 18, FALSE) / VLOOKUP("electricity|NOx|Premature mortality", US_national_yearly!$D:$AM, 10, FALSE), 1)</f>
        <v>2.6585659023855505E-4</v>
      </c>
      <c r="K2" s="7">
        <f>$B2 * IFERROR(VLOOKUP("electricity|NOx|Premature mortality", US_national_yearly!$D:$AM, 19, FALSE) / VLOOKUP("electricity|NOx|Premature mortality", US_national_yearly!$D:$AM, 10, FALSE), 1)</f>
        <v>2.7000717492628933E-4</v>
      </c>
      <c r="L2" s="7">
        <f>$B2 * IFERROR(VLOOKUP("electricity|NOx|Premature mortality", US_national_yearly!$D:$AM, 20, FALSE) / VLOOKUP("electricity|NOx|Premature mortality", US_national_yearly!$D:$AM, 10, FALSE), 1)</f>
        <v>2.7415775961402356E-4</v>
      </c>
      <c r="M2" s="7">
        <f>$B2 * IFERROR(VLOOKUP("electricity|NOx|Premature mortality", US_national_yearly!$D:$AM, 21, FALSE) / VLOOKUP("electricity|NOx|Premature mortality", US_national_yearly!$D:$AM, 10, FALSE), 1)</f>
        <v>2.7830834430175785E-4</v>
      </c>
      <c r="N2" s="7">
        <f>$B2 * IFERROR(VLOOKUP("electricity|NOx|Premature mortality", US_national_yearly!$D:$AM, 22, FALSE) / VLOOKUP("electricity|NOx|Premature mortality", US_national_yearly!$D:$AM, 10, FALSE), 1)</f>
        <v>2.8151100021621422E-4</v>
      </c>
      <c r="O2" s="7">
        <f>$B2 * IFERROR(VLOOKUP("electricity|NOx|Premature mortality", US_national_yearly!$D:$AM, 23, FALSE) / VLOOKUP("electricity|NOx|Premature mortality", US_national_yearly!$D:$AM, 10, FALSE), 1)</f>
        <v>2.8471365613067076E-4</v>
      </c>
      <c r="P2" s="7">
        <f>$B2 * IFERROR(VLOOKUP("electricity|NOx|Premature mortality", US_national_yearly!$D:$AM, 24, FALSE) / VLOOKUP("electricity|NOx|Premature mortality", US_national_yearly!$D:$AM, 10, FALSE), 1)</f>
        <v>2.8791631204512719E-4</v>
      </c>
      <c r="Q2" s="7">
        <f>$B2 * IFERROR(VLOOKUP("electricity|NOx|Premature mortality", US_national_yearly!$D:$AM, 25, FALSE) / VLOOKUP("electricity|NOx|Premature mortality", US_national_yearly!$D:$AM, 10, FALSE), 1)</f>
        <v>2.9111896795958362E-4</v>
      </c>
      <c r="R2" s="7">
        <f>$B2 * IFERROR(VLOOKUP("electricity|NOx|Premature mortality", US_national_yearly!$D:$AM, 26, FALSE) / VLOOKUP("electricity|NOx|Premature mortality", US_national_yearly!$D:$AM, 10, FALSE), 1)</f>
        <v>2.9432162387404005E-4</v>
      </c>
      <c r="S2" s="7">
        <f>$B2 * IFERROR(VLOOKUP("electricity|NOx|Premature mortality", US_national_yearly!$D:$AM, 27, FALSE) / VLOOKUP("electricity|NOx|Premature mortality", US_national_yearly!$D:$AM, 10, FALSE), 1)</f>
        <v>2.9597657028250182E-4</v>
      </c>
      <c r="T2" s="7">
        <f>$B2 * IFERROR(VLOOKUP("electricity|NOx|Premature mortality", US_national_yearly!$D:$AM, 28, FALSE) / VLOOKUP("electricity|NOx|Premature mortality", US_national_yearly!$D:$AM, 10, FALSE), 1)</f>
        <v>2.9763151669096358E-4</v>
      </c>
      <c r="U2" s="7">
        <f>$B2 * IFERROR(VLOOKUP("electricity|NOx|Premature mortality", US_national_yearly!$D:$AM, 29, FALSE) / VLOOKUP("electricity|NOx|Premature mortality", US_national_yearly!$D:$AM, 10, FALSE), 1)</f>
        <v>2.9928646309942546E-4</v>
      </c>
      <c r="V2" s="7">
        <f>$B2 * IFERROR(VLOOKUP("electricity|NOx|Premature mortality", US_national_yearly!$D:$AM, 30, FALSE) / VLOOKUP("electricity|NOx|Premature mortality", US_national_yearly!$D:$AM, 10, FALSE), 1)</f>
        <v>3.0094140950788728E-4</v>
      </c>
      <c r="W2" s="7">
        <f>$B2 * IFERROR(VLOOKUP("electricity|NOx|Premature mortality", US_national_yearly!$D:$AM, 31, FALSE) / VLOOKUP("electricity|NOx|Premature mortality", US_national_yearly!$D:$AM, 10, FALSE), 1)</f>
        <v>3.0259635591634905E-4</v>
      </c>
      <c r="X2" s="7">
        <f>$B2 * IFERROR(VLOOKUP("electricity|NOx|Premature mortality", US_national_yearly!$D:$AM, 32, FALSE) / VLOOKUP("electricity|NOx|Premature mortality", US_national_yearly!$D:$AM, 10, FALSE), 1)</f>
        <v>3.0297075620693486E-4</v>
      </c>
      <c r="Y2" s="7">
        <f>$B2 * IFERROR(VLOOKUP("electricity|NOx|Premature mortality", US_national_yearly!$D:$AM, 33, FALSE) / VLOOKUP("electricity|NOx|Premature mortality", US_national_yearly!$D:$AM, 10, FALSE), 1)</f>
        <v>3.0334515649752062E-4</v>
      </c>
      <c r="Z2" s="7">
        <f>$B2 * IFERROR(VLOOKUP("electricity|NOx|Premature mortality", US_national_yearly!$D:$AM, 34, FALSE) / VLOOKUP("electricity|NOx|Premature mortality", US_national_yearly!$D:$AM, 10, FALSE), 1)</f>
        <v>3.0371955678810644E-4</v>
      </c>
      <c r="AA2" s="7">
        <f>$B2 * IFERROR(VLOOKUP("electricity|NOx|Premature mortality", US_national_yearly!$D:$AM, 35, FALSE) / VLOOKUP("electricity|NOx|Premature mortality", US_national_yearly!$D:$AM, 10, FALSE), 1)</f>
        <v>3.0409395707869219E-4</v>
      </c>
      <c r="AB2" s="7">
        <f>$B2 * IFERROR(VLOOKUP("electricity|NOx|Premature mortality", US_national_yearly!$D:$AM, 36, FALSE) / VLOOKUP("electricity|NOx|Premature mortality", US_national_yearly!$D:$AM, 10, FALSE), 1)</f>
        <v>3.0446835736927801E-4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6.3144519719605801E-7</v>
      </c>
      <c r="C3" s="7">
        <f>$B3 * IFERROR(VLOOKUP("electricity|NOx|Infant mortality", US_national_yearly!$D:$AM, 11, FALSE) / VLOOKUP("electricity|NOx|Infant mortality", US_national_yearly!$D:$AM, 10, FALSE), 1)</f>
        <v>6.255376665991256E-7</v>
      </c>
      <c r="D3" s="7">
        <f>$B3 * IFERROR(VLOOKUP("electricity|NOx|Infant mortality", US_national_yearly!$D:$AM, 12, FALSE) / VLOOKUP("electricity|NOx|Infant mortality", US_national_yearly!$D:$AM, 10, FALSE), 1)</f>
        <v>6.1963013600219298E-7</v>
      </c>
      <c r="E3" s="7">
        <f>$B3 * IFERROR(VLOOKUP("electricity|NOx|Infant mortality", US_national_yearly!$D:$AM, 13, FALSE) / VLOOKUP("electricity|NOx|Infant mortality", US_national_yearly!$D:$AM, 10, FALSE), 1)</f>
        <v>6.1372260540526058E-7</v>
      </c>
      <c r="F3" s="7">
        <f>$B3 * IFERROR(VLOOKUP("electricity|NOx|Infant mortality", US_national_yearly!$D:$AM, 14, FALSE) / VLOOKUP("electricity|NOx|Infant mortality", US_national_yearly!$D:$AM, 10, FALSE), 1)</f>
        <v>6.0781507480832796E-7</v>
      </c>
      <c r="G3" s="7">
        <f>$B3 * IFERROR(VLOOKUP("electricity|NOx|Infant mortality", US_national_yearly!$D:$AM, 15, FALSE) / VLOOKUP("electricity|NOx|Infant mortality", US_national_yearly!$D:$AM, 10, FALSE), 1)</f>
        <v>4.0270760041635032E-7</v>
      </c>
      <c r="H3" s="7">
        <f>$B3 * IFERROR(VLOOKUP("electricity|NOx|Infant mortality", US_national_yearly!$D:$AM, 16, FALSE) / VLOOKUP("electricity|NOx|Infant mortality", US_national_yearly!$D:$AM, 10, FALSE), 1)</f>
        <v>1.9760012602437277E-7</v>
      </c>
      <c r="I3" s="7">
        <f>$B3 * IFERROR(VLOOKUP("electricity|NOx|Infant mortality", US_national_yearly!$D:$AM, 17, FALSE) / VLOOKUP("electricity|NOx|Infant mortality", US_national_yearly!$D:$AM, 10, FALSE), 1)</f>
        <v>1.9616306992771651E-7</v>
      </c>
      <c r="J3" s="7">
        <f>$B3 * IFERROR(VLOOKUP("electricity|NOx|Infant mortality", US_national_yearly!$D:$AM, 18, FALSE) / VLOOKUP("electricity|NOx|Infant mortality", US_national_yearly!$D:$AM, 10, FALSE), 1)</f>
        <v>1.9472601383106022E-7</v>
      </c>
      <c r="K3" s="7">
        <f>$B3 * IFERROR(VLOOKUP("electricity|NOx|Infant mortality", US_national_yearly!$D:$AM, 19, FALSE) / VLOOKUP("electricity|NOx|Infant mortality", US_national_yearly!$D:$AM, 10, FALSE), 1)</f>
        <v>1.9328895773440396E-7</v>
      </c>
      <c r="L3" s="7">
        <f>$B3 * IFERROR(VLOOKUP("electricity|NOx|Infant mortality", US_national_yearly!$D:$AM, 20, FALSE) / VLOOKUP("electricity|NOx|Infant mortality", US_national_yearly!$D:$AM, 10, FALSE), 1)</f>
        <v>1.9185190163774768E-7</v>
      </c>
      <c r="M3" s="7">
        <f>$B3 * IFERROR(VLOOKUP("electricity|NOx|Infant mortality", US_national_yearly!$D:$AM, 21, FALSE) / VLOOKUP("electricity|NOx|Infant mortality", US_national_yearly!$D:$AM, 10, FALSE), 1)</f>
        <v>1.9041484554109137E-7</v>
      </c>
      <c r="N3" s="7">
        <f>$B3 * IFERROR(VLOOKUP("electricity|NOx|Infant mortality", US_national_yearly!$D:$AM, 22, FALSE) / VLOOKUP("electricity|NOx|Infant mortality", US_national_yearly!$D:$AM, 10, FALSE), 1)</f>
        <v>1.8944985204922417E-7</v>
      </c>
      <c r="O3" s="7">
        <f>$B3 * IFERROR(VLOOKUP("electricity|NOx|Infant mortality", US_national_yearly!$D:$AM, 23, FALSE) / VLOOKUP("electricity|NOx|Infant mortality", US_national_yearly!$D:$AM, 10, FALSE), 1)</f>
        <v>1.8848485855735694E-7</v>
      </c>
      <c r="P3" s="7">
        <f>$B3 * IFERROR(VLOOKUP("electricity|NOx|Infant mortality", US_national_yearly!$D:$AM, 24, FALSE) / VLOOKUP("electricity|NOx|Infant mortality", US_national_yearly!$D:$AM, 10, FALSE), 1)</f>
        <v>1.8751986506548972E-7</v>
      </c>
      <c r="Q3" s="7">
        <f>$B3 * IFERROR(VLOOKUP("electricity|NOx|Infant mortality", US_national_yearly!$D:$AM, 25, FALSE) / VLOOKUP("electricity|NOx|Infant mortality", US_national_yearly!$D:$AM, 10, FALSE), 1)</f>
        <v>1.8655487157362249E-7</v>
      </c>
      <c r="R3" s="7">
        <f>$B3 * IFERROR(VLOOKUP("electricity|NOx|Infant mortality", US_national_yearly!$D:$AM, 26, FALSE) / VLOOKUP("electricity|NOx|Infant mortality", US_national_yearly!$D:$AM, 10, FALSE), 1)</f>
        <v>1.8558987808175529E-7</v>
      </c>
      <c r="S3" s="7">
        <f>$B3 * IFERROR(VLOOKUP("electricity|NOx|Infant mortality", US_national_yearly!$D:$AM, 27, FALSE) / VLOOKUP("electricity|NOx|Infant mortality", US_national_yearly!$D:$AM, 10, FALSE), 1)</f>
        <v>1.8444426275862672E-7</v>
      </c>
      <c r="T3" s="7">
        <f>$B3 * IFERROR(VLOOKUP("electricity|NOx|Infant mortality", US_national_yearly!$D:$AM, 28, FALSE) / VLOOKUP("electricity|NOx|Infant mortality", US_national_yearly!$D:$AM, 10, FALSE), 1)</f>
        <v>1.8329864743549815E-7</v>
      </c>
      <c r="U3" s="7">
        <f>$B3 * IFERROR(VLOOKUP("electricity|NOx|Infant mortality", US_national_yearly!$D:$AM, 29, FALSE) / VLOOKUP("electricity|NOx|Infant mortality", US_national_yearly!$D:$AM, 10, FALSE), 1)</f>
        <v>1.8215303211236963E-7</v>
      </c>
      <c r="V3" s="7">
        <f>$B3 * IFERROR(VLOOKUP("electricity|NOx|Infant mortality", US_national_yearly!$D:$AM, 30, FALSE) / VLOOKUP("electricity|NOx|Infant mortality", US_national_yearly!$D:$AM, 10, FALSE), 1)</f>
        <v>1.8100741678924108E-7</v>
      </c>
      <c r="W3" s="7">
        <f>$B3 * IFERROR(VLOOKUP("electricity|NOx|Infant mortality", US_national_yearly!$D:$AM, 31, FALSE) / VLOOKUP("electricity|NOx|Infant mortality", US_national_yearly!$D:$AM, 10, FALSE), 1)</f>
        <v>1.7986180146611254E-7</v>
      </c>
      <c r="X3" s="7">
        <f>$B3 * IFERROR(VLOOKUP("electricity|NOx|Infant mortality", US_national_yearly!$D:$AM, 32, FALSE) / VLOOKUP("electricity|NOx|Infant mortality", US_national_yearly!$D:$AM, 10, FALSE), 1)</f>
        <v>1.7868219072757921E-7</v>
      </c>
      <c r="Y3" s="7">
        <f>$B3 * IFERROR(VLOOKUP("electricity|NOx|Infant mortality", US_national_yearly!$D:$AM, 33, FALSE) / VLOOKUP("electricity|NOx|Infant mortality", US_national_yearly!$D:$AM, 10, FALSE), 1)</f>
        <v>1.7750257998904591E-7</v>
      </c>
      <c r="Z3" s="7">
        <f>$B3 * IFERROR(VLOOKUP("electricity|NOx|Infant mortality", US_national_yearly!$D:$AM, 34, FALSE) / VLOOKUP("electricity|NOx|Infant mortality", US_national_yearly!$D:$AM, 10, FALSE), 1)</f>
        <v>1.7632296925051259E-7</v>
      </c>
      <c r="AA3" s="7">
        <f>$B3 * IFERROR(VLOOKUP("electricity|NOx|Infant mortality", US_national_yearly!$D:$AM, 35, FALSE) / VLOOKUP("electricity|NOx|Infant mortality", US_national_yearly!$D:$AM, 10, FALSE), 1)</f>
        <v>1.7514335851197929E-7</v>
      </c>
      <c r="AB3" s="7">
        <f>$B3 * IFERROR(VLOOKUP("electricity|NOx|Infant mortality", US_national_yearly!$D:$AM, 36, FALSE) / VLOOKUP("electricity|NOx|Infant mortality", US_national_yearly!$D:$AM, 10, FALSE), 1)</f>
        <v>1.7396374777344594E-7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5.4707181440118418E-4</v>
      </c>
      <c r="C6" s="7">
        <f>$B6 * IFERROR(VLOOKUP("electricity|NOx|Asthma symptoms cough", US_national_yearly!$D:$AM, 11, FALSE) / VLOOKUP("electricity|NOx|Asthma symptoms cough", US_national_yearly!$D:$AM, 10, FALSE), 1)</f>
        <v>5.5458241614926834E-4</v>
      </c>
      <c r="D6" s="7">
        <f>$B6 * IFERROR(VLOOKUP("electricity|NOx|Asthma symptoms cough", US_national_yearly!$D:$AM, 12, FALSE) / VLOOKUP("electricity|NOx|Asthma symptoms cough", US_national_yearly!$D:$AM, 10, FALSE), 1)</f>
        <v>5.6209301789735249E-4</v>
      </c>
      <c r="E6" s="7">
        <f>$B6 * IFERROR(VLOOKUP("electricity|NOx|Asthma symptoms cough", US_national_yearly!$D:$AM, 13, FALSE) / VLOOKUP("electricity|NOx|Asthma symptoms cough", US_national_yearly!$D:$AM, 10, FALSE), 1)</f>
        <v>5.6960361964543665E-4</v>
      </c>
      <c r="F6" s="7">
        <f>$B6 * IFERROR(VLOOKUP("electricity|NOx|Asthma symptoms cough", US_national_yearly!$D:$AM, 14, FALSE) / VLOOKUP("electricity|NOx|Asthma symptoms cough", US_national_yearly!$D:$AM, 10, FALSE), 1)</f>
        <v>5.7711422139352069E-4</v>
      </c>
      <c r="G6" s="7">
        <f>$B6 * IFERROR(VLOOKUP("electricity|NOx|Asthma symptoms cough", US_national_yearly!$D:$AM, 15, FALSE) / VLOOKUP("electricity|NOx|Asthma symptoms cough", US_national_yearly!$D:$AM, 10, FALSE), 1)</f>
        <v>5.8322073884364573E-4</v>
      </c>
      <c r="H6" s="7">
        <f>$B6 * IFERROR(VLOOKUP("electricity|NOx|Asthma symptoms cough", US_national_yearly!$D:$AM, 16, FALSE) / VLOOKUP("electricity|NOx|Asthma symptoms cough", US_national_yearly!$D:$AM, 10, FALSE), 1)</f>
        <v>5.8932725629377088E-4</v>
      </c>
      <c r="I6" s="7">
        <f>$B6 * IFERROR(VLOOKUP("electricity|NOx|Asthma symptoms cough", US_national_yearly!$D:$AM, 17, FALSE) / VLOOKUP("electricity|NOx|Asthma symptoms cough", US_national_yearly!$D:$AM, 10, FALSE), 1)</f>
        <v>5.9159728113712261E-4</v>
      </c>
      <c r="J6" s="7">
        <f>$B6 * IFERROR(VLOOKUP("electricity|NOx|Asthma symptoms cough", US_national_yearly!$D:$AM, 18, FALSE) / VLOOKUP("electricity|NOx|Asthma symptoms cough", US_national_yearly!$D:$AM, 10, FALSE), 1)</f>
        <v>5.9386730598047434E-4</v>
      </c>
      <c r="K6" s="7">
        <f>$B6 * IFERROR(VLOOKUP("electricity|NOx|Asthma symptoms cough", US_national_yearly!$D:$AM, 19, FALSE) / VLOOKUP("electricity|NOx|Asthma symptoms cough", US_national_yearly!$D:$AM, 10, FALSE), 1)</f>
        <v>5.9613733082382618E-4</v>
      </c>
      <c r="L6" s="7">
        <f>$B6 * IFERROR(VLOOKUP("electricity|NOx|Asthma symptoms cough", US_national_yearly!$D:$AM, 20, FALSE) / VLOOKUP("electricity|NOx|Asthma symptoms cough", US_national_yearly!$D:$AM, 10, FALSE), 1)</f>
        <v>5.9840735566717791E-4</v>
      </c>
      <c r="M6" s="7">
        <f>$B6 * IFERROR(VLOOKUP("electricity|NOx|Asthma symptoms cough", US_national_yearly!$D:$AM, 21, FALSE) / VLOOKUP("electricity|NOx|Asthma symptoms cough", US_national_yearly!$D:$AM, 10, FALSE), 1)</f>
        <v>6.0067738051052975E-4</v>
      </c>
      <c r="N6" s="7">
        <f>$B6 * IFERROR(VLOOKUP("electricity|NOx|Asthma symptoms cough", US_national_yearly!$D:$AM, 22, FALSE) / VLOOKUP("electricity|NOx|Asthma symptoms cough", US_national_yearly!$D:$AM, 10, FALSE), 1)</f>
        <v>6.0319254912873132E-4</v>
      </c>
      <c r="O6" s="7">
        <f>$B6 * IFERROR(VLOOKUP("electricity|NOx|Asthma symptoms cough", US_national_yearly!$D:$AM, 23, FALSE) / VLOOKUP("electricity|NOx|Asthma symptoms cough", US_national_yearly!$D:$AM, 10, FALSE), 1)</f>
        <v>6.0570771774693288E-4</v>
      </c>
      <c r="P6" s="7">
        <f>$B6 * IFERROR(VLOOKUP("electricity|NOx|Asthma symptoms cough", US_national_yearly!$D:$AM, 24, FALSE) / VLOOKUP("electricity|NOx|Asthma symptoms cough", US_national_yearly!$D:$AM, 10, FALSE), 1)</f>
        <v>6.0822288636513445E-4</v>
      </c>
      <c r="Q6" s="7">
        <f>$B6 * IFERROR(VLOOKUP("electricity|NOx|Asthma symptoms cough", US_national_yearly!$D:$AM, 25, FALSE) / VLOOKUP("electricity|NOx|Asthma symptoms cough", US_national_yearly!$D:$AM, 10, FALSE), 1)</f>
        <v>6.1073805498333613E-4</v>
      </c>
      <c r="R6" s="7">
        <f>$B6 * IFERROR(VLOOKUP("electricity|NOx|Asthma symptoms cough", US_national_yearly!$D:$AM, 26, FALSE) / VLOOKUP("electricity|NOx|Asthma symptoms cough", US_national_yearly!$D:$AM, 10, FALSE), 1)</f>
        <v>6.1325322360153759E-4</v>
      </c>
      <c r="S6" s="7">
        <f>$B6 * IFERROR(VLOOKUP("electricity|NOx|Asthma symptoms cough", US_national_yearly!$D:$AM, 27, FALSE) / VLOOKUP("electricity|NOx|Asthma symptoms cough", US_national_yearly!$D:$AM, 10, FALSE), 1)</f>
        <v>6.163911280693393E-4</v>
      </c>
      <c r="T6" s="7">
        <f>$B6 * IFERROR(VLOOKUP("electricity|NOx|Asthma symptoms cough", US_national_yearly!$D:$AM, 28, FALSE) / VLOOKUP("electricity|NOx|Asthma symptoms cough", US_national_yearly!$D:$AM, 10, FALSE), 1)</f>
        <v>6.195290325371408E-4</v>
      </c>
      <c r="U6" s="7">
        <f>$B6 * IFERROR(VLOOKUP("electricity|NOx|Asthma symptoms cough", US_national_yearly!$D:$AM, 29, FALSE) / VLOOKUP("electricity|NOx|Asthma symptoms cough", US_national_yearly!$D:$AM, 10, FALSE), 1)</f>
        <v>6.2266693700494251E-4</v>
      </c>
      <c r="V6" s="7">
        <f>$B6 * IFERROR(VLOOKUP("electricity|NOx|Asthma symptoms cough", US_national_yearly!$D:$AM, 30, FALSE) / VLOOKUP("electricity|NOx|Asthma symptoms cough", US_national_yearly!$D:$AM, 10, FALSE), 1)</f>
        <v>6.2580484147274401E-4</v>
      </c>
      <c r="W6" s="7">
        <f>$B6 * IFERROR(VLOOKUP("electricity|NOx|Asthma symptoms cough", US_national_yearly!$D:$AM, 31, FALSE) / VLOOKUP("electricity|NOx|Asthma symptoms cough", US_national_yearly!$D:$AM, 10, FALSE), 1)</f>
        <v>6.2894274594054562E-4</v>
      </c>
      <c r="X6" s="7">
        <f>$B6 * IFERROR(VLOOKUP("electricity|NOx|Asthma symptoms cough", US_national_yearly!$D:$AM, 32, FALSE) / VLOOKUP("electricity|NOx|Asthma symptoms cough", US_national_yearly!$D:$AM, 10, FALSE), 1)</f>
        <v>6.3183371827279177E-4</v>
      </c>
      <c r="Y6" s="7">
        <f>$B6 * IFERROR(VLOOKUP("electricity|NOx|Asthma symptoms cough", US_national_yearly!$D:$AM, 33, FALSE) / VLOOKUP("electricity|NOx|Asthma symptoms cough", US_national_yearly!$D:$AM, 10, FALSE), 1)</f>
        <v>6.3472469060503803E-4</v>
      </c>
      <c r="Z6" s="7">
        <f>$B6 * IFERROR(VLOOKUP("electricity|NOx|Asthma symptoms cough", US_national_yearly!$D:$AM, 34, FALSE) / VLOOKUP("electricity|NOx|Asthma symptoms cough", US_national_yearly!$D:$AM, 10, FALSE), 1)</f>
        <v>6.3761566293728429E-4</v>
      </c>
      <c r="AA6" s="7">
        <f>$B6 * IFERROR(VLOOKUP("electricity|NOx|Asthma symptoms cough", US_national_yearly!$D:$AM, 35, FALSE) / VLOOKUP("electricity|NOx|Asthma symptoms cough", US_national_yearly!$D:$AM, 10, FALSE), 1)</f>
        <v>6.4050663526953044E-4</v>
      </c>
      <c r="AB6" s="7">
        <f>$B6 * IFERROR(VLOOKUP("electricity|NOx|Asthma symptoms cough", US_national_yearly!$D:$AM, 36, FALSE) / VLOOKUP("electricity|NOx|Asthma symptoms cough", US_national_yearly!$D:$AM, 10, FALSE), 1)</f>
        <v>6.4339760760177671E-4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7.3671077575794986E-4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7.4682487976452359E-4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7.5693898377109743E-4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7.6705308777767116E-4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7.7716719178424478E-4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7.8539049460357203E-4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7.9361379742289896E-4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7.966707118962418E-4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7.9972762636958432E-4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8.0278454084292694E-4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8.0584145531626945E-4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8.0889836978961208E-4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8.1228540556975252E-4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8.1567244134989308E-4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8.1905947713003353E-4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8.2244651291017408E-4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8.2583354869031453E-4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8.3005918774190467E-4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8.3428482679349469E-4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8.3851046584508483E-4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8.4273610489667486E-4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8.46961743948265E-4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8.5085485341102876E-4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8.5474796287379263E-4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8.5864107233655639E-4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8.6253418179932004E-4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8.6642729126208391E-4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1.1255720816962529E-3</v>
      </c>
      <c r="C8" s="7">
        <f>$B8 * IFERROR(VLOOKUP("electricity|NOx|Asthma symptoms wheeze", US_national_yearly!$D:$AM, 11, FALSE) / VLOOKUP("electricity|NOx|Asthma symptoms wheeze", US_national_yearly!$D:$AM, 10, FALSE), 1)</f>
        <v>1.1410247579622414E-3</v>
      </c>
      <c r="D8" s="7">
        <f>$B8 * IFERROR(VLOOKUP("electricity|NOx|Asthma symptoms wheeze", US_national_yearly!$D:$AM, 12, FALSE) / VLOOKUP("electricity|NOx|Asthma symptoms wheeze", US_national_yearly!$D:$AM, 10, FALSE), 1)</f>
        <v>1.1564774342282299E-3</v>
      </c>
      <c r="E8" s="7">
        <f>$B8 * IFERROR(VLOOKUP("electricity|NOx|Asthma symptoms wheeze", US_national_yearly!$D:$AM, 13, FALSE) / VLOOKUP("electricity|NOx|Asthma symptoms wheeze", US_national_yearly!$D:$AM, 10, FALSE), 1)</f>
        <v>1.1719301104942184E-3</v>
      </c>
      <c r="F8" s="7">
        <f>$B8 * IFERROR(VLOOKUP("electricity|NOx|Asthma symptoms wheeze", US_national_yearly!$D:$AM, 14, FALSE) / VLOOKUP("electricity|NOx|Asthma symptoms wheeze", US_national_yearly!$D:$AM, 10, FALSE), 1)</f>
        <v>1.1873827867602072E-3</v>
      </c>
      <c r="G8" s="7">
        <f>$B8 * IFERROR(VLOOKUP("electricity|NOx|Asthma symptoms wheeze", US_national_yearly!$D:$AM, 15, FALSE) / VLOOKUP("electricity|NOx|Asthma symptoms wheeze", US_national_yearly!$D:$AM, 10, FALSE), 1)</f>
        <v>1.1999466318971849E-3</v>
      </c>
      <c r="H8" s="7">
        <f>$B8 * IFERROR(VLOOKUP("electricity|NOx|Asthma symptoms wheeze", US_national_yearly!$D:$AM, 16, FALSE) / VLOOKUP("electricity|NOx|Asthma symptoms wheeze", US_national_yearly!$D:$AM, 10, FALSE), 1)</f>
        <v>1.2125104770341628E-3</v>
      </c>
      <c r="I8" s="7">
        <f>$B8 * IFERROR(VLOOKUP("electricity|NOx|Asthma symptoms wheeze", US_national_yearly!$D:$AM, 17, FALSE) / VLOOKUP("electricity|NOx|Asthma symptoms wheeze", US_national_yearly!$D:$AM, 10, FALSE), 1)</f>
        <v>1.217180936225146E-3</v>
      </c>
      <c r="J8" s="7">
        <f>$B8 * IFERROR(VLOOKUP("electricity|NOx|Asthma symptoms wheeze", US_national_yearly!$D:$AM, 18, FALSE) / VLOOKUP("electricity|NOx|Asthma symptoms wheeze", US_national_yearly!$D:$AM, 10, FALSE), 1)</f>
        <v>1.2218513954161292E-3</v>
      </c>
      <c r="K8" s="7">
        <f>$B8 * IFERROR(VLOOKUP("electricity|NOx|Asthma symptoms wheeze", US_national_yearly!$D:$AM, 19, FALSE) / VLOOKUP("electricity|NOx|Asthma symptoms wheeze", US_national_yearly!$D:$AM, 10, FALSE), 1)</f>
        <v>1.2265218546071131E-3</v>
      </c>
      <c r="L8" s="7">
        <f>$B8 * IFERROR(VLOOKUP("electricity|NOx|Asthma symptoms wheeze", US_national_yearly!$D:$AM, 20, FALSE) / VLOOKUP("electricity|NOx|Asthma symptoms wheeze", US_national_yearly!$D:$AM, 10, FALSE), 1)</f>
        <v>1.2311923137980963E-3</v>
      </c>
      <c r="M8" s="7">
        <f>$B8 * IFERROR(VLOOKUP("electricity|NOx|Asthma symptoms wheeze", US_national_yearly!$D:$AM, 21, FALSE) / VLOOKUP("electricity|NOx|Asthma symptoms wheeze", US_national_yearly!$D:$AM, 10, FALSE), 1)</f>
        <v>1.2358627729890795E-3</v>
      </c>
      <c r="N8" s="7">
        <f>$B8 * IFERROR(VLOOKUP("electricity|NOx|Asthma symptoms wheeze", US_national_yearly!$D:$AM, 22, FALSE) / VLOOKUP("electricity|NOx|Asthma symptoms wheeze", US_national_yearly!$D:$AM, 10, FALSE), 1)</f>
        <v>1.2410376028705594E-3</v>
      </c>
      <c r="O8" s="7">
        <f>$B8 * IFERROR(VLOOKUP("electricity|NOx|Asthma symptoms wheeze", US_national_yearly!$D:$AM, 23, FALSE) / VLOOKUP("electricity|NOx|Asthma symptoms wheeze", US_national_yearly!$D:$AM, 10, FALSE), 1)</f>
        <v>1.2462124327520395E-3</v>
      </c>
      <c r="P8" s="7">
        <f>$B8 * IFERROR(VLOOKUP("electricity|NOx|Asthma symptoms wheeze", US_national_yearly!$D:$AM, 24, FALSE) / VLOOKUP("electricity|NOx|Asthma symptoms wheeze", US_national_yearly!$D:$AM, 10, FALSE), 1)</f>
        <v>1.2513872626335196E-3</v>
      </c>
      <c r="Q8" s="7">
        <f>$B8 * IFERROR(VLOOKUP("electricity|NOx|Asthma symptoms wheeze", US_national_yearly!$D:$AM, 25, FALSE) / VLOOKUP("electricity|NOx|Asthma symptoms wheeze", US_national_yearly!$D:$AM, 10, FALSE), 1)</f>
        <v>1.2565620925149995E-3</v>
      </c>
      <c r="R8" s="7">
        <f>$B8 * IFERROR(VLOOKUP("electricity|NOx|Asthma symptoms wheeze", US_national_yearly!$D:$AM, 26, FALSE) / VLOOKUP("electricity|NOx|Asthma symptoms wheeze", US_national_yearly!$D:$AM, 10, FALSE), 1)</f>
        <v>1.2617369223964794E-3</v>
      </c>
      <c r="S8" s="7">
        <f>$B8 * IFERROR(VLOOKUP("electricity|NOx|Asthma symptoms wheeze", US_national_yearly!$D:$AM, 27, FALSE) / VLOOKUP("electricity|NOx|Asthma symptoms wheeze", US_national_yearly!$D:$AM, 10, FALSE), 1)</f>
        <v>1.268192999214747E-3</v>
      </c>
      <c r="T8" s="7">
        <f>$B8 * IFERROR(VLOOKUP("electricity|NOx|Asthma symptoms wheeze", US_national_yearly!$D:$AM, 28, FALSE) / VLOOKUP("electricity|NOx|Asthma symptoms wheeze", US_national_yearly!$D:$AM, 10, FALSE), 1)</f>
        <v>1.2746490760330146E-3</v>
      </c>
      <c r="U8" s="7">
        <f>$B8 * IFERROR(VLOOKUP("electricity|NOx|Asthma symptoms wheeze", US_national_yearly!$D:$AM, 29, FALSE) / VLOOKUP("electricity|NOx|Asthma symptoms wheeze", US_national_yearly!$D:$AM, 10, FALSE), 1)</f>
        <v>1.281105152851282E-3</v>
      </c>
      <c r="V8" s="7">
        <f>$B8 * IFERROR(VLOOKUP("electricity|NOx|Asthma symptoms wheeze", US_national_yearly!$D:$AM, 30, FALSE) / VLOOKUP("electricity|NOx|Asthma symptoms wheeze", US_national_yearly!$D:$AM, 10, FALSE), 1)</f>
        <v>1.2875612296695497E-3</v>
      </c>
      <c r="W8" s="7">
        <f>$B8 * IFERROR(VLOOKUP("electricity|NOx|Asthma symptoms wheeze", US_national_yearly!$D:$AM, 31, FALSE) / VLOOKUP("electricity|NOx|Asthma symptoms wheeze", US_national_yearly!$D:$AM, 10, FALSE), 1)</f>
        <v>1.2940173064878173E-3</v>
      </c>
      <c r="X8" s="7">
        <f>$B8 * IFERROR(VLOOKUP("electricity|NOx|Asthma symptoms wheeze", US_national_yearly!$D:$AM, 32, FALSE) / VLOOKUP("electricity|NOx|Asthma symptoms wheeze", US_national_yearly!$D:$AM, 10, FALSE), 1)</f>
        <v>1.2999653331549419E-3</v>
      </c>
      <c r="Y8" s="7">
        <f>$B8 * IFERROR(VLOOKUP("electricity|NOx|Asthma symptoms wheeze", US_national_yearly!$D:$AM, 33, FALSE) / VLOOKUP("electricity|NOx|Asthma symptoms wheeze", US_national_yearly!$D:$AM, 10, FALSE), 1)</f>
        <v>1.3059133598220666E-3</v>
      </c>
      <c r="Z8" s="7">
        <f>$B8 * IFERROR(VLOOKUP("electricity|NOx|Asthma symptoms wheeze", US_national_yearly!$D:$AM, 34, FALSE) / VLOOKUP("electricity|NOx|Asthma symptoms wheeze", US_national_yearly!$D:$AM, 10, FALSE), 1)</f>
        <v>1.3118613864891908E-3</v>
      </c>
      <c r="AA8" s="7">
        <f>$B8 * IFERROR(VLOOKUP("electricity|NOx|Asthma symptoms wheeze", US_national_yearly!$D:$AM, 35, FALSE) / VLOOKUP("electricity|NOx|Asthma symptoms wheeze", US_national_yearly!$D:$AM, 10, FALSE), 1)</f>
        <v>1.3178094131563154E-3</v>
      </c>
      <c r="AB8" s="7">
        <f>$B8 * IFERROR(VLOOKUP("electricity|NOx|Asthma symptoms wheeze", US_national_yearly!$D:$AM, 36, FALSE) / VLOOKUP("electricity|NOx|Asthma symptoms wheeze", US_national_yearly!$D:$AM, 10, FALSE), 1)</f>
        <v>1.3237574398234399E-3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1.5726993781184228E-5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1.6129788359729946E-5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1.6532582938275667E-5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1.6935377516821385E-5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1.73381720953671E-5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1.7725924022334261E-5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1.8113675949301429E-5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1.8447110706770494E-5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1.8780545464239555E-5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1.9113980221708627E-5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1.9447414979177688E-5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1.9780849736646756E-5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2.0009356762911115E-5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2.0237863789175478E-5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2.046637081543984E-5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2.06948778417042E-5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2.0923384867968562E-5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2.1053526909529351E-5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2.1183668951090143E-5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2.1313810992650928E-5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2.1443953034211716E-5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2.1574095075772502E-5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2.1668753316116416E-5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2.1763411556460327E-5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2.1858069796804244E-5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2.1952728037148159E-5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2.204738627749207E-5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9.733360988614137E-5</v>
      </c>
      <c r="C13" s="7">
        <f>$B13 * IFERROR(VLOOKUP("electricity|NOx|Non-fatal heart attacks", US_national_yearly!$D:$AM, 11, FALSE) / VLOOKUP("electricity|NOx|Non-fatal heart attacks", US_national_yearly!$D:$AM, 10, FALSE), 1)</f>
        <v>1.0012681634069733E-4</v>
      </c>
      <c r="D13" s="7">
        <f>$B13 * IFERROR(VLOOKUP("electricity|NOx|Non-fatal heart attacks", US_national_yearly!$D:$AM, 12, FALSE) / VLOOKUP("electricity|NOx|Non-fatal heart attacks", US_national_yearly!$D:$AM, 10, FALSE), 1)</f>
        <v>1.029200227952533E-4</v>
      </c>
      <c r="E13" s="7">
        <f>$B13 * IFERROR(VLOOKUP("electricity|NOx|Non-fatal heart attacks", US_national_yearly!$D:$AM, 13, FALSE) / VLOOKUP("electricity|NOx|Non-fatal heart attacks", US_national_yearly!$D:$AM, 10, FALSE), 1)</f>
        <v>1.0571322924980926E-4</v>
      </c>
      <c r="F13" s="7">
        <f>$B13 * IFERROR(VLOOKUP("electricity|NOx|Non-fatal heart attacks", US_national_yearly!$D:$AM, 14, FALSE) / VLOOKUP("electricity|NOx|Non-fatal heart attacks", US_national_yearly!$D:$AM, 10, FALSE), 1)</f>
        <v>1.0850643570436525E-4</v>
      </c>
      <c r="G13" s="7">
        <f>$B13 * IFERROR(VLOOKUP("electricity|NOx|Non-fatal heart attacks", US_national_yearly!$D:$AM, 15, FALSE) / VLOOKUP("electricity|NOx|Non-fatal heart attacks", US_national_yearly!$D:$AM, 10, FALSE), 1)</f>
        <v>1.1113774335526791E-4</v>
      </c>
      <c r="H13" s="7">
        <f>$B13 * IFERROR(VLOOKUP("electricity|NOx|Non-fatal heart attacks", US_national_yearly!$D:$AM, 16, FALSE) / VLOOKUP("electricity|NOx|Non-fatal heart attacks", US_national_yearly!$D:$AM, 10, FALSE), 1)</f>
        <v>1.1376905100617059E-4</v>
      </c>
      <c r="I13" s="7">
        <f>$B13 * IFERROR(VLOOKUP("electricity|NOx|Non-fatal heart attacks", US_national_yearly!$D:$AM, 17, FALSE) / VLOOKUP("electricity|NOx|Non-fatal heart attacks", US_national_yearly!$D:$AM, 10, FALSE), 1)</f>
        <v>1.1587909353460181E-4</v>
      </c>
      <c r="J13" s="7">
        <f>$B13 * IFERROR(VLOOKUP("electricity|NOx|Non-fatal heart attacks", US_national_yearly!$D:$AM, 18, FALSE) / VLOOKUP("electricity|NOx|Non-fatal heart attacks", US_national_yearly!$D:$AM, 10, FALSE), 1)</f>
        <v>1.1798913606303303E-4</v>
      </c>
      <c r="K13" s="7">
        <f>$B13 * IFERROR(VLOOKUP("electricity|NOx|Non-fatal heart attacks", US_national_yearly!$D:$AM, 19, FALSE) / VLOOKUP("electricity|NOx|Non-fatal heart attacks", US_national_yearly!$D:$AM, 10, FALSE), 1)</f>
        <v>1.2009917859146414E-4</v>
      </c>
      <c r="L13" s="7">
        <f>$B13 * IFERROR(VLOOKUP("electricity|NOx|Non-fatal heart attacks", US_national_yearly!$D:$AM, 20, FALSE) / VLOOKUP("electricity|NOx|Non-fatal heart attacks", US_national_yearly!$D:$AM, 10, FALSE), 1)</f>
        <v>1.2220922111989537E-4</v>
      </c>
      <c r="M13" s="7">
        <f>$B13 * IFERROR(VLOOKUP("electricity|NOx|Non-fatal heart attacks", US_national_yearly!$D:$AM, 21, FALSE) / VLOOKUP("electricity|NOx|Non-fatal heart attacks", US_national_yearly!$D:$AM, 10, FALSE), 1)</f>
        <v>1.2431926364832663E-4</v>
      </c>
      <c r="N13" s="7">
        <f>$B13 * IFERROR(VLOOKUP("electricity|NOx|Non-fatal heart attacks", US_national_yearly!$D:$AM, 22, FALSE) / VLOOKUP("electricity|NOx|Non-fatal heart attacks", US_national_yearly!$D:$AM, 10, FALSE), 1)</f>
        <v>1.2562057071691037E-4</v>
      </c>
      <c r="O13" s="7">
        <f>$B13 * IFERROR(VLOOKUP("electricity|NOx|Non-fatal heart attacks", US_national_yearly!$D:$AM, 23, FALSE) / VLOOKUP("electricity|NOx|Non-fatal heart attacks", US_national_yearly!$D:$AM, 10, FALSE), 1)</f>
        <v>1.2692187778549417E-4</v>
      </c>
      <c r="P13" s="7">
        <f>$B13 * IFERROR(VLOOKUP("electricity|NOx|Non-fatal heart attacks", US_national_yearly!$D:$AM, 24, FALSE) / VLOOKUP("electricity|NOx|Non-fatal heart attacks", US_national_yearly!$D:$AM, 10, FALSE), 1)</f>
        <v>1.2822318485407796E-4</v>
      </c>
      <c r="Q13" s="7">
        <f>$B13 * IFERROR(VLOOKUP("electricity|NOx|Non-fatal heart attacks", US_national_yearly!$D:$AM, 25, FALSE) / VLOOKUP("electricity|NOx|Non-fatal heart attacks", US_national_yearly!$D:$AM, 10, FALSE), 1)</f>
        <v>1.2952449192266173E-4</v>
      </c>
      <c r="R13" s="7">
        <f>$B13 * IFERROR(VLOOKUP("electricity|NOx|Non-fatal heart attacks", US_national_yearly!$D:$AM, 26, FALSE) / VLOOKUP("electricity|NOx|Non-fatal heart attacks", US_national_yearly!$D:$AM, 10, FALSE), 1)</f>
        <v>1.3082579899124553E-4</v>
      </c>
      <c r="S13" s="7">
        <f>$B13 * IFERROR(VLOOKUP("electricity|NOx|Non-fatal heart attacks", US_national_yearly!$D:$AM, 27, FALSE) / VLOOKUP("electricity|NOx|Non-fatal heart attacks", US_national_yearly!$D:$AM, 10, FALSE), 1)</f>
        <v>1.3146161328962881E-4</v>
      </c>
      <c r="T13" s="7">
        <f>$B13 * IFERROR(VLOOKUP("electricity|NOx|Non-fatal heart attacks", US_national_yearly!$D:$AM, 28, FALSE) / VLOOKUP("electricity|NOx|Non-fatal heart attacks", US_national_yearly!$D:$AM, 10, FALSE), 1)</f>
        <v>1.3209742758801208E-4</v>
      </c>
      <c r="U13" s="7">
        <f>$B13 * IFERROR(VLOOKUP("electricity|NOx|Non-fatal heart attacks", US_national_yearly!$D:$AM, 29, FALSE) / VLOOKUP("electricity|NOx|Non-fatal heart attacks", US_national_yearly!$D:$AM, 10, FALSE), 1)</f>
        <v>1.3273324188639541E-4</v>
      </c>
      <c r="V13" s="7">
        <f>$B13 * IFERROR(VLOOKUP("electricity|NOx|Non-fatal heart attacks", US_national_yearly!$D:$AM, 30, FALSE) / VLOOKUP("electricity|NOx|Non-fatal heart attacks", US_national_yearly!$D:$AM, 10, FALSE), 1)</f>
        <v>1.3336905618477869E-4</v>
      </c>
      <c r="W13" s="7">
        <f>$B13 * IFERROR(VLOOKUP("electricity|NOx|Non-fatal heart attacks", US_national_yearly!$D:$AM, 31, FALSE) / VLOOKUP("electricity|NOx|Non-fatal heart attacks", US_national_yearly!$D:$AM, 10, FALSE), 1)</f>
        <v>1.3400487048316199E-4</v>
      </c>
      <c r="X13" s="7">
        <f>$B13 * IFERROR(VLOOKUP("electricity|NOx|Non-fatal heart attacks", US_national_yearly!$D:$AM, 32, FALSE) / VLOOKUP("electricity|NOx|Non-fatal heart attacks", US_national_yearly!$D:$AM, 10, FALSE), 1)</f>
        <v>1.3444865196658788E-4</v>
      </c>
      <c r="Y13" s="7">
        <f>$B13 * IFERROR(VLOOKUP("electricity|NOx|Non-fatal heart attacks", US_national_yearly!$D:$AM, 33, FALSE) / VLOOKUP("electricity|NOx|Non-fatal heart attacks", US_national_yearly!$D:$AM, 10, FALSE), 1)</f>
        <v>1.3489243345001382E-4</v>
      </c>
      <c r="Z13" s="7">
        <f>$B13 * IFERROR(VLOOKUP("electricity|NOx|Non-fatal heart attacks", US_national_yearly!$D:$AM, 34, FALSE) / VLOOKUP("electricity|NOx|Non-fatal heart attacks", US_national_yearly!$D:$AM, 10, FALSE), 1)</f>
        <v>1.3533621493343973E-4</v>
      </c>
      <c r="AA13" s="7">
        <f>$B13 * IFERROR(VLOOKUP("electricity|NOx|Non-fatal heart attacks", US_national_yearly!$D:$AM, 35, FALSE) / VLOOKUP("electricity|NOx|Non-fatal heart attacks", US_national_yearly!$D:$AM, 10, FALSE), 1)</f>
        <v>1.3577999641686562E-4</v>
      </c>
      <c r="AB13" s="7">
        <f>$B13 * IFERROR(VLOOKUP("electricity|NOx|Non-fatal heart attacks", US_national_yearly!$D:$AM, 36, FALSE) / VLOOKUP("electricity|NOx|Non-fatal heart attacks", US_national_yearly!$D:$AM, 10, FALSE), 1)</f>
        <v>1.3622377790029156E-4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6.9768991431451002E-2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6.987596252870186E-2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6.9982933625952717E-2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7.0089904723203575E-2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7.0196875820454446E-2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7.038347079592891E-2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7.0570065771403345E-2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7.0939242666730559E-2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7.1308419562057732E-2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7.1677596457384946E-2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7.2046773352712118E-2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7.2415950248039332E-2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7.2949811057055627E-2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7.3483671866071923E-2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7.4017532675088205E-2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7.4551393484104514E-2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7.5085254293120809E-2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7.5623152329697518E-2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7.6161050366274241E-2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7.6698948402850964E-2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7.7236846439427687E-2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7.7774744476004395E-2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7.822964680772633E-2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7.8684549139448223E-2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7.9139451471170214E-2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7.9594353802892134E-2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8.0049256134614055E-2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1.1770190894607261E-2</v>
      </c>
      <c r="C15" s="7">
        <f>$B15 * IFERROR(VLOOKUP("electricity|NOx|Work loss days", US_national_yearly!$D:$AM, 11, FALSE) / VLOOKUP("electricity|NOx|Work loss days", US_national_yearly!$D:$AM, 10, FALSE), 1)</f>
        <v>1.1796442626972724E-2</v>
      </c>
      <c r="D15" s="7">
        <f>$B15 * IFERROR(VLOOKUP("electricity|NOx|Work loss days", US_national_yearly!$D:$AM, 12, FALSE) / VLOOKUP("electricity|NOx|Work loss days", US_national_yearly!$D:$AM, 10, FALSE), 1)</f>
        <v>1.1822694359338186E-2</v>
      </c>
      <c r="E15" s="7">
        <f>$B15 * IFERROR(VLOOKUP("electricity|NOx|Work loss days", US_national_yearly!$D:$AM, 13, FALSE) / VLOOKUP("electricity|NOx|Work loss days", US_national_yearly!$D:$AM, 10, FALSE), 1)</f>
        <v>1.1848946091703649E-2</v>
      </c>
      <c r="F15" s="7">
        <f>$B15 * IFERROR(VLOOKUP("electricity|NOx|Work loss days", US_national_yearly!$D:$AM, 14, FALSE) / VLOOKUP("electricity|NOx|Work loss days", US_national_yearly!$D:$AM, 10, FALSE), 1)</f>
        <v>1.1875197824069112E-2</v>
      </c>
      <c r="G15" s="7">
        <f>$B15 * IFERROR(VLOOKUP("electricity|NOx|Work loss days", US_national_yearly!$D:$AM, 15, FALSE) / VLOOKUP("electricity|NOx|Work loss days", US_national_yearly!$D:$AM, 10, FALSE), 1)</f>
        <v>1.1912206748709233E-2</v>
      </c>
      <c r="H15" s="7">
        <f>$B15 * IFERROR(VLOOKUP("electricity|NOx|Work loss days", US_national_yearly!$D:$AM, 16, FALSE) / VLOOKUP("electricity|NOx|Work loss days", US_national_yearly!$D:$AM, 10, FALSE), 1)</f>
        <v>1.1949215673349353E-2</v>
      </c>
      <c r="I15" s="7">
        <f>$B15 * IFERROR(VLOOKUP("electricity|NOx|Work loss days", US_national_yearly!$D:$AM, 17, FALSE) / VLOOKUP("electricity|NOx|Work loss days", US_national_yearly!$D:$AM, 10, FALSE), 1)</f>
        <v>1.2009308232010235E-2</v>
      </c>
      <c r="J15" s="7">
        <f>$B15 * IFERROR(VLOOKUP("electricity|NOx|Work loss days", US_national_yearly!$D:$AM, 18, FALSE) / VLOOKUP("electricity|NOx|Work loss days", US_national_yearly!$D:$AM, 10, FALSE), 1)</f>
        <v>1.2069400790671118E-2</v>
      </c>
      <c r="K15" s="7">
        <f>$B15 * IFERROR(VLOOKUP("electricity|NOx|Work loss days", US_national_yearly!$D:$AM, 19, FALSE) / VLOOKUP("electricity|NOx|Work loss days", US_national_yearly!$D:$AM, 10, FALSE), 1)</f>
        <v>1.2129493349331999E-2</v>
      </c>
      <c r="L15" s="7">
        <f>$B15 * IFERROR(VLOOKUP("electricity|NOx|Work loss days", US_national_yearly!$D:$AM, 20, FALSE) / VLOOKUP("electricity|NOx|Work loss days", US_national_yearly!$D:$AM, 10, FALSE), 1)</f>
        <v>1.2189585907992878E-2</v>
      </c>
      <c r="M15" s="7">
        <f>$B15 * IFERROR(VLOOKUP("electricity|NOx|Work loss days", US_national_yearly!$D:$AM, 21, FALSE) / VLOOKUP("electricity|NOx|Work loss days", US_national_yearly!$D:$AM, 10, FALSE), 1)</f>
        <v>1.2249678466653759E-2</v>
      </c>
      <c r="N15" s="7">
        <f>$B15 * IFERROR(VLOOKUP("electricity|NOx|Work loss days", US_national_yearly!$D:$AM, 22, FALSE) / VLOOKUP("electricity|NOx|Work loss days", US_national_yearly!$D:$AM, 10, FALSE), 1)</f>
        <v>1.2328962729441893E-2</v>
      </c>
      <c r="O15" s="7">
        <f>$B15 * IFERROR(VLOOKUP("electricity|NOx|Work loss days", US_national_yearly!$D:$AM, 23, FALSE) / VLOOKUP("electricity|NOx|Work loss days", US_national_yearly!$D:$AM, 10, FALSE), 1)</f>
        <v>1.2408246992230025E-2</v>
      </c>
      <c r="P15" s="7">
        <f>$B15 * IFERROR(VLOOKUP("electricity|NOx|Work loss days", US_national_yearly!$D:$AM, 24, FALSE) / VLOOKUP("electricity|NOx|Work loss days", US_national_yearly!$D:$AM, 10, FALSE), 1)</f>
        <v>1.2487531255018159E-2</v>
      </c>
      <c r="Q15" s="7">
        <f>$B15 * IFERROR(VLOOKUP("electricity|NOx|Work loss days", US_national_yearly!$D:$AM, 25, FALSE) / VLOOKUP("electricity|NOx|Work loss days", US_national_yearly!$D:$AM, 10, FALSE), 1)</f>
        <v>1.2566815517806293E-2</v>
      </c>
      <c r="R15" s="7">
        <f>$B15 * IFERROR(VLOOKUP("electricity|NOx|Work loss days", US_national_yearly!$D:$AM, 26, FALSE) / VLOOKUP("electricity|NOx|Work loss days", US_national_yearly!$D:$AM, 10, FALSE), 1)</f>
        <v>1.2646099780594422E-2</v>
      </c>
      <c r="S15" s="7">
        <f>$B15 * IFERROR(VLOOKUP("electricity|NOx|Work loss days", US_national_yearly!$D:$AM, 27, FALSE) / VLOOKUP("electricity|NOx|Work loss days", US_national_yearly!$D:$AM, 10, FALSE), 1)</f>
        <v>1.2734947893117672E-2</v>
      </c>
      <c r="T15" s="7">
        <f>$B15 * IFERROR(VLOOKUP("electricity|NOx|Work loss days", US_national_yearly!$D:$AM, 28, FALSE) / VLOOKUP("electricity|NOx|Work loss days", US_national_yearly!$D:$AM, 10, FALSE), 1)</f>
        <v>1.282379600564092E-2</v>
      </c>
      <c r="U15" s="7">
        <f>$B15 * IFERROR(VLOOKUP("electricity|NOx|Work loss days", US_national_yearly!$D:$AM, 29, FALSE) / VLOOKUP("electricity|NOx|Work loss days", US_national_yearly!$D:$AM, 10, FALSE), 1)</f>
        <v>1.2912644118164169E-2</v>
      </c>
      <c r="V15" s="7">
        <f>$B15 * IFERROR(VLOOKUP("electricity|NOx|Work loss days", US_national_yearly!$D:$AM, 30, FALSE) / VLOOKUP("electricity|NOx|Work loss days", US_national_yearly!$D:$AM, 10, FALSE), 1)</f>
        <v>1.3001492230687415E-2</v>
      </c>
      <c r="W15" s="7">
        <f>$B15 * IFERROR(VLOOKUP("electricity|NOx|Work loss days", US_national_yearly!$D:$AM, 31, FALSE) / VLOOKUP("electricity|NOx|Work loss days", US_national_yearly!$D:$AM, 10, FALSE), 1)</f>
        <v>1.3090340343210665E-2</v>
      </c>
      <c r="X15" s="7">
        <f>$B15 * IFERROR(VLOOKUP("electricity|NOx|Work loss days", US_national_yearly!$D:$AM, 32, FALSE) / VLOOKUP("electricity|NOx|Work loss days", US_national_yearly!$D:$AM, 10, FALSE), 1)</f>
        <v>1.3167789627578336E-2</v>
      </c>
      <c r="Y15" s="7">
        <f>$B15 * IFERROR(VLOOKUP("electricity|NOx|Work loss days", US_national_yearly!$D:$AM, 33, FALSE) / VLOOKUP("electricity|NOx|Work loss days", US_national_yearly!$D:$AM, 10, FALSE), 1)</f>
        <v>1.3245238911946008E-2</v>
      </c>
      <c r="Z15" s="7">
        <f>$B15 * IFERROR(VLOOKUP("electricity|NOx|Work loss days", US_national_yearly!$D:$AM, 34, FALSE) / VLOOKUP("electricity|NOx|Work loss days", US_national_yearly!$D:$AM, 10, FALSE), 1)</f>
        <v>1.3322688196313678E-2</v>
      </c>
      <c r="AA15" s="7">
        <f>$B15 * IFERROR(VLOOKUP("electricity|NOx|Work loss days", US_national_yearly!$D:$AM, 35, FALSE) / VLOOKUP("electricity|NOx|Work loss days", US_national_yearly!$D:$AM, 10, FALSE), 1)</f>
        <v>1.3400137480681352E-2</v>
      </c>
      <c r="AB15" s="7">
        <f>$B15 * IFERROR(VLOOKUP("electricity|NOx|Work loss days", US_national_yearly!$D:$AM, 36, FALSE) / VLOOKUP("electricity|NOx|Work loss days", US_national_yearly!$D:$AM, 10, FALSE), 1)</f>
        <v>1.3477586765049022E-2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2.509046930603495E-5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2.5829550062399353E-5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2.6568630818763758E-5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2.7307711575128161E-5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2.8046792331492567E-5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2.8754519540444282E-5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2.9462246749395994E-5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3.0066328253232684E-5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3.0670409757069376E-5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3.1274491260906072E-5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3.1878572764742768E-5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3.2482654268579457E-5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3.2870336938239938E-5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3.3258019607900426E-5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3.3645702277560907E-5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3.4033384947221395E-5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3.4421067616881883E-5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3.4611853090829021E-5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3.480263856477616E-5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3.4993424038723299E-5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3.5184209512670444E-5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3.537499498661759E-5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3.5489339967879076E-5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3.5603684949140562E-5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3.5718029930402055E-5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3.5832374911663541E-5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3.5946719892925028E-5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1.7009539965198673E-3</v>
      </c>
      <c r="C2" s="7">
        <f>$B2 * IFERROR(VLOOKUP("electricity|SO2|Premature mortality", US_national_yearly!$D:$AM, 11, FALSE) / VLOOKUP("electricity|SO2|Premature mortality", US_national_yearly!$D:$AM, 10, FALSE), 1)</f>
        <v>1.7227606191764155E-3</v>
      </c>
      <c r="D2" s="7">
        <f>$B2 * IFERROR(VLOOKUP("electricity|SO2|Premature mortality", US_national_yearly!$D:$AM, 12, FALSE) / VLOOKUP("electricity|SO2|Premature mortality", US_national_yearly!$D:$AM, 10, FALSE), 1)</f>
        <v>1.7445672418329634E-3</v>
      </c>
      <c r="E2" s="7">
        <f>$B2 * IFERROR(VLOOKUP("electricity|SO2|Premature mortality", US_national_yearly!$D:$AM, 13, FALSE) / VLOOKUP("electricity|SO2|Premature mortality", US_national_yearly!$D:$AM, 10, FALSE), 1)</f>
        <v>1.7663738644895116E-3</v>
      </c>
      <c r="F2" s="7">
        <f>$B2 * IFERROR(VLOOKUP("electricity|SO2|Premature mortality", US_national_yearly!$D:$AM, 14, FALSE) / VLOOKUP("electricity|SO2|Premature mortality", US_national_yearly!$D:$AM, 10, FALSE), 1)</f>
        <v>1.7881804871460595E-3</v>
      </c>
      <c r="G2" s="7">
        <f>$B2 * IFERROR(VLOOKUP("electricity|SO2|Premature mortality", US_national_yearly!$D:$AM, 15, FALSE) / VLOOKUP("electricity|SO2|Premature mortality", US_national_yearly!$D:$AM, 10, FALSE), 1)</f>
        <v>1.8301887889232858E-3</v>
      </c>
      <c r="H2" s="7">
        <f>$B2 * IFERROR(VLOOKUP("electricity|SO2|Premature mortality", US_national_yearly!$D:$AM, 16, FALSE) / VLOOKUP("electricity|SO2|Premature mortality", US_national_yearly!$D:$AM, 10, FALSE), 1)</f>
        <v>1.8721970907005117E-3</v>
      </c>
      <c r="I2" s="7">
        <f>$B2 * IFERROR(VLOOKUP("electricity|SO2|Premature mortality", US_national_yearly!$D:$AM, 17, FALSE) / VLOOKUP("electricity|SO2|Premature mortality", US_national_yearly!$D:$AM, 10, FALSE), 1)</f>
        <v>1.9004744798335129E-3</v>
      </c>
      <c r="J2" s="7">
        <f>$B2 * IFERROR(VLOOKUP("electricity|SO2|Premature mortality", US_national_yearly!$D:$AM, 18, FALSE) / VLOOKUP("electricity|SO2|Premature mortality", US_national_yearly!$D:$AM, 10, FALSE), 1)</f>
        <v>1.928751868966514E-3</v>
      </c>
      <c r="K2" s="7">
        <f>$B2 * IFERROR(VLOOKUP("electricity|SO2|Premature mortality", US_national_yearly!$D:$AM, 19, FALSE) / VLOOKUP("electricity|SO2|Premature mortality", US_national_yearly!$D:$AM, 10, FALSE), 1)</f>
        <v>1.9570292580995147E-3</v>
      </c>
      <c r="L2" s="7">
        <f>$B2 * IFERROR(VLOOKUP("electricity|SO2|Premature mortality", US_national_yearly!$D:$AM, 20, FALSE) / VLOOKUP("electricity|SO2|Premature mortality", US_national_yearly!$D:$AM, 10, FALSE), 1)</f>
        <v>1.9853066472325163E-3</v>
      </c>
      <c r="M2" s="7">
        <f>$B2 * IFERROR(VLOOKUP("electricity|SO2|Premature mortality", US_national_yearly!$D:$AM, 21, FALSE) / VLOOKUP("electricity|SO2|Premature mortality", US_national_yearly!$D:$AM, 10, FALSE), 1)</f>
        <v>2.0135840363655171E-3</v>
      </c>
      <c r="N2" s="7">
        <f>$B2 * IFERROR(VLOOKUP("electricity|SO2|Premature mortality", US_national_yearly!$D:$AM, 22, FALSE) / VLOOKUP("electricity|SO2|Premature mortality", US_national_yearly!$D:$AM, 10, FALSE), 1)</f>
        <v>2.0362461099244201E-3</v>
      </c>
      <c r="O2" s="7">
        <f>$B2 * IFERROR(VLOOKUP("electricity|SO2|Premature mortality", US_national_yearly!$D:$AM, 23, FALSE) / VLOOKUP("electricity|SO2|Premature mortality", US_national_yearly!$D:$AM, 10, FALSE), 1)</f>
        <v>2.0589081834833235E-3</v>
      </c>
      <c r="P2" s="7">
        <f>$B2 * IFERROR(VLOOKUP("electricity|SO2|Premature mortality", US_national_yearly!$D:$AM, 24, FALSE) / VLOOKUP("electricity|SO2|Premature mortality", US_national_yearly!$D:$AM, 10, FALSE), 1)</f>
        <v>2.0815702570422261E-3</v>
      </c>
      <c r="Q2" s="7">
        <f>$B2 * IFERROR(VLOOKUP("electricity|SO2|Premature mortality", US_national_yearly!$D:$AM, 25, FALSE) / VLOOKUP("electricity|SO2|Premature mortality", US_national_yearly!$D:$AM, 10, FALSE), 1)</f>
        <v>2.1042323306011291E-3</v>
      </c>
      <c r="R2" s="7">
        <f>$B2 * IFERROR(VLOOKUP("electricity|SO2|Premature mortality", US_national_yearly!$D:$AM, 26, FALSE) / VLOOKUP("electricity|SO2|Premature mortality", US_national_yearly!$D:$AM, 10, FALSE), 1)</f>
        <v>2.1268944041600321E-3</v>
      </c>
      <c r="S2" s="7">
        <f>$B2 * IFERROR(VLOOKUP("electricity|SO2|Premature mortality", US_national_yearly!$D:$AM, 27, FALSE) / VLOOKUP("electricity|SO2|Premature mortality", US_national_yearly!$D:$AM, 10, FALSE), 1)</f>
        <v>2.1398872328802208E-3</v>
      </c>
      <c r="T2" s="7">
        <f>$B2 * IFERROR(VLOOKUP("electricity|SO2|Premature mortality", US_national_yearly!$D:$AM, 28, FALSE) / VLOOKUP("electricity|SO2|Premature mortality", US_national_yearly!$D:$AM, 10, FALSE), 1)</f>
        <v>2.1528800616004103E-3</v>
      </c>
      <c r="U2" s="7">
        <f>$B2 * IFERROR(VLOOKUP("electricity|SO2|Premature mortality", US_national_yearly!$D:$AM, 29, FALSE) / VLOOKUP("electricity|SO2|Premature mortality", US_national_yearly!$D:$AM, 10, FALSE), 1)</f>
        <v>2.165872890320599E-3</v>
      </c>
      <c r="V2" s="7">
        <f>$B2 * IFERROR(VLOOKUP("electricity|SO2|Premature mortality", US_national_yearly!$D:$AM, 30, FALSE) / VLOOKUP("electricity|SO2|Premature mortality", US_national_yearly!$D:$AM, 10, FALSE), 1)</f>
        <v>2.1788657190407886E-3</v>
      </c>
      <c r="W2" s="7">
        <f>$B2 * IFERROR(VLOOKUP("electricity|SO2|Premature mortality", US_national_yearly!$D:$AM, 31, FALSE) / VLOOKUP("electricity|SO2|Premature mortality", US_national_yearly!$D:$AM, 10, FALSE), 1)</f>
        <v>2.1918585477609773E-3</v>
      </c>
      <c r="X2" s="7">
        <f>$B2 * IFERROR(VLOOKUP("electricity|SO2|Premature mortality", US_national_yearly!$D:$AM, 32, FALSE) / VLOOKUP("electricity|SO2|Premature mortality", US_national_yearly!$D:$AM, 10, FALSE), 1)</f>
        <v>2.1956868284630959E-3</v>
      </c>
      <c r="Y2" s="7">
        <f>$B2 * IFERROR(VLOOKUP("electricity|SO2|Premature mortality", US_national_yearly!$D:$AM, 33, FALSE) / VLOOKUP("electricity|SO2|Premature mortality", US_national_yearly!$D:$AM, 10, FALSE), 1)</f>
        <v>2.1995151091652146E-3</v>
      </c>
      <c r="Z2" s="7">
        <f>$B2 * IFERROR(VLOOKUP("electricity|SO2|Premature mortality", US_national_yearly!$D:$AM, 34, FALSE) / VLOOKUP("electricity|SO2|Premature mortality", US_national_yearly!$D:$AM, 10, FALSE), 1)</f>
        <v>2.2033433898673328E-3</v>
      </c>
      <c r="AA2" s="7">
        <f>$B2 * IFERROR(VLOOKUP("electricity|SO2|Premature mortality", US_national_yearly!$D:$AM, 35, FALSE) / VLOOKUP("electricity|SO2|Premature mortality", US_national_yearly!$D:$AM, 10, FALSE), 1)</f>
        <v>2.2071716705694515E-3</v>
      </c>
      <c r="AB2" s="7">
        <f>$B2 * IFERROR(VLOOKUP("electricity|SO2|Premature mortality", US_national_yearly!$D:$AM, 36, FALSE) / VLOOKUP("electricity|SO2|Premature mortality", US_national_yearly!$D:$AM, 10, FALSE), 1)</f>
        <v>2.2109999512715697E-3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4.5928107600393688E-6</v>
      </c>
      <c r="C3" s="7">
        <f>$B3 * IFERROR(VLOOKUP("electricity|SO2|Infant mortality", US_national_yearly!$D:$AM, 11, FALSE) / VLOOKUP("electricity|SO2|Infant mortality", US_national_yearly!$D:$AM, 10, FALSE), 1)</f>
        <v>4.5540102417281808E-6</v>
      </c>
      <c r="D3" s="7">
        <f>$B3 * IFERROR(VLOOKUP("electricity|SO2|Infant mortality", US_national_yearly!$D:$AM, 12, FALSE) / VLOOKUP("electricity|SO2|Infant mortality", US_national_yearly!$D:$AM, 10, FALSE), 1)</f>
        <v>4.5152097234169928E-6</v>
      </c>
      <c r="E3" s="7">
        <f>$B3 * IFERROR(VLOOKUP("electricity|SO2|Infant mortality", US_national_yearly!$D:$AM, 13, FALSE) / VLOOKUP("electricity|SO2|Infant mortality", US_national_yearly!$D:$AM, 10, FALSE), 1)</f>
        <v>4.476409205105804E-6</v>
      </c>
      <c r="F3" s="7">
        <f>$B3 * IFERROR(VLOOKUP("electricity|SO2|Infant mortality", US_national_yearly!$D:$AM, 14, FALSE) / VLOOKUP("electricity|SO2|Infant mortality", US_national_yearly!$D:$AM, 10, FALSE), 1)</f>
        <v>4.4376086867946169E-6</v>
      </c>
      <c r="G3" s="7">
        <f>$B3 * IFERROR(VLOOKUP("electricity|SO2|Infant mortality", US_national_yearly!$D:$AM, 15, FALSE) / VLOOKUP("electricity|SO2|Infant mortality", US_national_yearly!$D:$AM, 10, FALSE), 1)</f>
        <v>2.951239650469816E-6</v>
      </c>
      <c r="H3" s="7">
        <f>$B3 * IFERROR(VLOOKUP("electricity|SO2|Infant mortality", US_national_yearly!$D:$AM, 16, FALSE) / VLOOKUP("electricity|SO2|Infant mortality", US_national_yearly!$D:$AM, 10, FALSE), 1)</f>
        <v>1.4648706141450151E-6</v>
      </c>
      <c r="I3" s="7">
        <f>$B3 * IFERROR(VLOOKUP("electricity|SO2|Infant mortality", US_national_yearly!$D:$AM, 17, FALSE) / VLOOKUP("electricity|SO2|Infant mortality", US_national_yearly!$D:$AM, 10, FALSE), 1)</f>
        <v>1.4554991327515636E-6</v>
      </c>
      <c r="J3" s="7">
        <f>$B3 * IFERROR(VLOOKUP("electricity|SO2|Infant mortality", US_national_yearly!$D:$AM, 18, FALSE) / VLOOKUP("electricity|SO2|Infant mortality", US_national_yearly!$D:$AM, 10, FALSE), 1)</f>
        <v>1.4461276513581118E-6</v>
      </c>
      <c r="K3" s="7">
        <f>$B3 * IFERROR(VLOOKUP("electricity|SO2|Infant mortality", US_national_yearly!$D:$AM, 19, FALSE) / VLOOKUP("electricity|SO2|Infant mortality", US_national_yearly!$D:$AM, 10, FALSE), 1)</f>
        <v>1.4367561699646605E-6</v>
      </c>
      <c r="L3" s="7">
        <f>$B3 * IFERROR(VLOOKUP("electricity|SO2|Infant mortality", US_national_yearly!$D:$AM, 20, FALSE) / VLOOKUP("electricity|SO2|Infant mortality", US_national_yearly!$D:$AM, 10, FALSE), 1)</f>
        <v>1.4273846885712088E-6</v>
      </c>
      <c r="M3" s="7">
        <f>$B3 * IFERROR(VLOOKUP("electricity|SO2|Infant mortality", US_national_yearly!$D:$AM, 21, FALSE) / VLOOKUP("electricity|SO2|Infant mortality", US_national_yearly!$D:$AM, 10, FALSE), 1)</f>
        <v>1.4180132071777572E-6</v>
      </c>
      <c r="N3" s="7">
        <f>$B3 * IFERROR(VLOOKUP("electricity|SO2|Infant mortality", US_national_yearly!$D:$AM, 22, FALSE) / VLOOKUP("electricity|SO2|Infant mortality", US_national_yearly!$D:$AM, 10, FALSE), 1)</f>
        <v>1.4120750212881338E-6</v>
      </c>
      <c r="O3" s="7">
        <f>$B3 * IFERROR(VLOOKUP("electricity|SO2|Infant mortality", US_national_yearly!$D:$AM, 23, FALSE) / VLOOKUP("electricity|SO2|Infant mortality", US_national_yearly!$D:$AM, 10, FALSE), 1)</f>
        <v>1.4061368353985102E-6</v>
      </c>
      <c r="P3" s="7">
        <f>$B3 * IFERROR(VLOOKUP("electricity|SO2|Infant mortality", US_national_yearly!$D:$AM, 24, FALSE) / VLOOKUP("electricity|SO2|Infant mortality", US_national_yearly!$D:$AM, 10, FALSE), 1)</f>
        <v>1.4001986495088866E-6</v>
      </c>
      <c r="Q3" s="7">
        <f>$B3 * IFERROR(VLOOKUP("electricity|SO2|Infant mortality", US_national_yearly!$D:$AM, 25, FALSE) / VLOOKUP("electricity|SO2|Infant mortality", US_national_yearly!$D:$AM, 10, FALSE), 1)</f>
        <v>1.3942604636192634E-6</v>
      </c>
      <c r="R3" s="7">
        <f>$B3 * IFERROR(VLOOKUP("electricity|SO2|Infant mortality", US_national_yearly!$D:$AM, 26, FALSE) / VLOOKUP("electricity|SO2|Infant mortality", US_national_yearly!$D:$AM, 10, FALSE), 1)</f>
        <v>1.38832227772964E-6</v>
      </c>
      <c r="S3" s="7">
        <f>$B3 * IFERROR(VLOOKUP("electricity|SO2|Infant mortality", US_national_yearly!$D:$AM, 27, FALSE) / VLOOKUP("electricity|SO2|Infant mortality", US_national_yearly!$D:$AM, 10, FALSE), 1)</f>
        <v>1.3809210814506121E-6</v>
      </c>
      <c r="T3" s="7">
        <f>$B3 * IFERROR(VLOOKUP("electricity|SO2|Infant mortality", US_national_yearly!$D:$AM, 28, FALSE) / VLOOKUP("electricity|SO2|Infant mortality", US_national_yearly!$D:$AM, 10, FALSE), 1)</f>
        <v>1.3735198851715846E-6</v>
      </c>
      <c r="U3" s="7">
        <f>$B3 * IFERROR(VLOOKUP("electricity|SO2|Infant mortality", US_national_yearly!$D:$AM, 29, FALSE) / VLOOKUP("electricity|SO2|Infant mortality", US_national_yearly!$D:$AM, 10, FALSE), 1)</f>
        <v>1.3661186888925569E-6</v>
      </c>
      <c r="V3" s="7">
        <f>$B3 * IFERROR(VLOOKUP("electricity|SO2|Infant mortality", US_national_yearly!$D:$AM, 30, FALSE) / VLOOKUP("electricity|SO2|Infant mortality", US_national_yearly!$D:$AM, 10, FALSE), 1)</f>
        <v>1.3587174926135292E-6</v>
      </c>
      <c r="W3" s="7">
        <f>$B3 * IFERROR(VLOOKUP("electricity|SO2|Infant mortality", US_national_yearly!$D:$AM, 31, FALSE) / VLOOKUP("electricity|SO2|Infant mortality", US_national_yearly!$D:$AM, 10, FALSE), 1)</f>
        <v>1.3513162963345015E-6</v>
      </c>
      <c r="X3" s="7">
        <f>$B3 * IFERROR(VLOOKUP("electricity|SO2|Infant mortality", US_national_yearly!$D:$AM, 32, FALSE) / VLOOKUP("electricity|SO2|Infant mortality", US_national_yearly!$D:$AM, 10, FALSE), 1)</f>
        <v>1.3434194366407958E-6</v>
      </c>
      <c r="Y3" s="7">
        <f>$B3 * IFERROR(VLOOKUP("electricity|SO2|Infant mortality", US_national_yearly!$D:$AM, 33, FALSE) / VLOOKUP("electricity|SO2|Infant mortality", US_national_yearly!$D:$AM, 10, FALSE), 1)</f>
        <v>1.3355225769470897E-6</v>
      </c>
      <c r="Z3" s="7">
        <f>$B3 * IFERROR(VLOOKUP("electricity|SO2|Infant mortality", US_national_yearly!$D:$AM, 34, FALSE) / VLOOKUP("electricity|SO2|Infant mortality", US_national_yearly!$D:$AM, 10, FALSE), 1)</f>
        <v>1.327625717253384E-6</v>
      </c>
      <c r="AA3" s="7">
        <f>$B3 * IFERROR(VLOOKUP("electricity|SO2|Infant mortality", US_national_yearly!$D:$AM, 35, FALSE) / VLOOKUP("electricity|SO2|Infant mortality", US_national_yearly!$D:$AM, 10, FALSE), 1)</f>
        <v>1.3197288575596783E-6</v>
      </c>
      <c r="AB3" s="7">
        <f>$B3 * IFERROR(VLOOKUP("electricity|SO2|Infant mortality", US_national_yearly!$D:$AM, 36, FALSE) / VLOOKUP("electricity|SO2|Infant mortality", US_national_yearly!$D:$AM, 10, FALSE), 1)</f>
        <v>1.3118319978659724E-6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4.0184970306589313E-3</v>
      </c>
      <c r="C6" s="7">
        <f>$B6 * IFERROR(VLOOKUP("electricity|SO2|Asthma symptoms cough", US_national_yearly!$D:$AM, 11, FALSE) / VLOOKUP("electricity|SO2|Asthma symptoms cough", US_national_yearly!$D:$AM, 10, FALSE), 1)</f>
        <v>4.0184970306589313E-3</v>
      </c>
      <c r="D6" s="7">
        <f>$B6 * IFERROR(VLOOKUP("electricity|SO2|Asthma symptoms cough", US_national_yearly!$D:$AM, 12, FALSE) / VLOOKUP("electricity|SO2|Asthma symptoms cough", US_national_yearly!$D:$AM, 10, FALSE), 1)</f>
        <v>4.0184970306589313E-3</v>
      </c>
      <c r="E6" s="7">
        <f>$B6 * IFERROR(VLOOKUP("electricity|SO2|Asthma symptoms cough", US_national_yearly!$D:$AM, 13, FALSE) / VLOOKUP("electricity|SO2|Asthma symptoms cough", US_national_yearly!$D:$AM, 10, FALSE), 1)</f>
        <v>4.0184970306589313E-3</v>
      </c>
      <c r="F6" s="7">
        <f>$B6 * IFERROR(VLOOKUP("electricity|SO2|Asthma symptoms cough", US_national_yearly!$D:$AM, 14, FALSE) / VLOOKUP("electricity|SO2|Asthma symptoms cough", US_national_yearly!$D:$AM, 10, FALSE), 1)</f>
        <v>4.0184970306589313E-3</v>
      </c>
      <c r="G6" s="7">
        <f>$B6 * IFERROR(VLOOKUP("electricity|SO2|Asthma symptoms cough", US_national_yearly!$D:$AM, 15, FALSE) / VLOOKUP("electricity|SO2|Asthma symptoms cough", US_national_yearly!$D:$AM, 10, FALSE), 1)</f>
        <v>4.0184970306589313E-3</v>
      </c>
      <c r="H6" s="7">
        <f>$B6 * IFERROR(VLOOKUP("electricity|SO2|Asthma symptoms cough", US_national_yearly!$D:$AM, 16, FALSE) / VLOOKUP("electricity|SO2|Asthma symptoms cough", US_national_yearly!$D:$AM, 10, FALSE), 1)</f>
        <v>4.0184970306589313E-3</v>
      </c>
      <c r="I6" s="7">
        <f>$B6 * IFERROR(VLOOKUP("electricity|SO2|Asthma symptoms cough", US_national_yearly!$D:$AM, 17, FALSE) / VLOOKUP("electricity|SO2|Asthma symptoms cough", US_national_yearly!$D:$AM, 10, FALSE), 1)</f>
        <v>4.0184970306589313E-3</v>
      </c>
      <c r="J6" s="7">
        <f>$B6 * IFERROR(VLOOKUP("electricity|SO2|Asthma symptoms cough", US_national_yearly!$D:$AM, 18, FALSE) / VLOOKUP("electricity|SO2|Asthma symptoms cough", US_national_yearly!$D:$AM, 10, FALSE), 1)</f>
        <v>4.0184970306589313E-3</v>
      </c>
      <c r="K6" s="7">
        <f>$B6 * IFERROR(VLOOKUP("electricity|SO2|Asthma symptoms cough", US_national_yearly!$D:$AM, 19, FALSE) / VLOOKUP("electricity|SO2|Asthma symptoms cough", US_national_yearly!$D:$AM, 10, FALSE), 1)</f>
        <v>4.0184970306589313E-3</v>
      </c>
      <c r="L6" s="7">
        <f>$B6 * IFERROR(VLOOKUP("electricity|SO2|Asthma symptoms cough", US_national_yearly!$D:$AM, 20, FALSE) / VLOOKUP("electricity|SO2|Asthma symptoms cough", US_national_yearly!$D:$AM, 10, FALSE), 1)</f>
        <v>4.0184970306589313E-3</v>
      </c>
      <c r="M6" s="7">
        <f>$B6 * IFERROR(VLOOKUP("electricity|SO2|Asthma symptoms cough", US_national_yearly!$D:$AM, 21, FALSE) / VLOOKUP("electricity|SO2|Asthma symptoms cough", US_national_yearly!$D:$AM, 10, FALSE), 1)</f>
        <v>4.0184970306589313E-3</v>
      </c>
      <c r="N6" s="7">
        <f>$B6 * IFERROR(VLOOKUP("electricity|SO2|Asthma symptoms cough", US_national_yearly!$D:$AM, 22, FALSE) / VLOOKUP("electricity|SO2|Asthma symptoms cough", US_national_yearly!$D:$AM, 10, FALSE), 1)</f>
        <v>4.0184970306589313E-3</v>
      </c>
      <c r="O6" s="7">
        <f>$B6 * IFERROR(VLOOKUP("electricity|SO2|Asthma symptoms cough", US_national_yearly!$D:$AM, 23, FALSE) / VLOOKUP("electricity|SO2|Asthma symptoms cough", US_national_yearly!$D:$AM, 10, FALSE), 1)</f>
        <v>4.0184970306589313E-3</v>
      </c>
      <c r="P6" s="7">
        <f>$B6 * IFERROR(VLOOKUP("electricity|SO2|Asthma symptoms cough", US_national_yearly!$D:$AM, 24, FALSE) / VLOOKUP("electricity|SO2|Asthma symptoms cough", US_national_yearly!$D:$AM, 10, FALSE), 1)</f>
        <v>4.0184970306589313E-3</v>
      </c>
      <c r="Q6" s="7">
        <f>$B6 * IFERROR(VLOOKUP("electricity|SO2|Asthma symptoms cough", US_national_yearly!$D:$AM, 25, FALSE) / VLOOKUP("electricity|SO2|Asthma symptoms cough", US_national_yearly!$D:$AM, 10, FALSE), 1)</f>
        <v>4.0184970306589313E-3</v>
      </c>
      <c r="R6" s="7">
        <f>$B6 * IFERROR(VLOOKUP("electricity|SO2|Asthma symptoms cough", US_national_yearly!$D:$AM, 26, FALSE) / VLOOKUP("electricity|SO2|Asthma symptoms cough", US_national_yearly!$D:$AM, 10, FALSE), 1)</f>
        <v>4.0184970306589313E-3</v>
      </c>
      <c r="S6" s="7">
        <f>$B6 * IFERROR(VLOOKUP("electricity|SO2|Asthma symptoms cough", US_national_yearly!$D:$AM, 27, FALSE) / VLOOKUP("electricity|SO2|Asthma symptoms cough", US_national_yearly!$D:$AM, 10, FALSE), 1)</f>
        <v>4.0184970306589313E-3</v>
      </c>
      <c r="T6" s="7">
        <f>$B6 * IFERROR(VLOOKUP("electricity|SO2|Asthma symptoms cough", US_national_yearly!$D:$AM, 28, FALSE) / VLOOKUP("electricity|SO2|Asthma symptoms cough", US_national_yearly!$D:$AM, 10, FALSE), 1)</f>
        <v>4.0184970306589313E-3</v>
      </c>
      <c r="U6" s="7">
        <f>$B6 * IFERROR(VLOOKUP("electricity|SO2|Asthma symptoms cough", US_national_yearly!$D:$AM, 29, FALSE) / VLOOKUP("electricity|SO2|Asthma symptoms cough", US_national_yearly!$D:$AM, 10, FALSE), 1)</f>
        <v>4.0184970306589313E-3</v>
      </c>
      <c r="V6" s="7">
        <f>$B6 * IFERROR(VLOOKUP("electricity|SO2|Asthma symptoms cough", US_national_yearly!$D:$AM, 30, FALSE) / VLOOKUP("electricity|SO2|Asthma symptoms cough", US_national_yearly!$D:$AM, 10, FALSE), 1)</f>
        <v>4.0184970306589313E-3</v>
      </c>
      <c r="W6" s="7">
        <f>$B6 * IFERROR(VLOOKUP("electricity|SO2|Asthma symptoms cough", US_national_yearly!$D:$AM, 31, FALSE) / VLOOKUP("electricity|SO2|Asthma symptoms cough", US_national_yearly!$D:$AM, 10, FALSE), 1)</f>
        <v>4.0184970306589313E-3</v>
      </c>
      <c r="X6" s="7">
        <f>$B6 * IFERROR(VLOOKUP("electricity|SO2|Asthma symptoms cough", US_national_yearly!$D:$AM, 32, FALSE) / VLOOKUP("electricity|SO2|Asthma symptoms cough", US_national_yearly!$D:$AM, 10, FALSE), 1)</f>
        <v>4.0184970306589313E-3</v>
      </c>
      <c r="Y6" s="7">
        <f>$B6 * IFERROR(VLOOKUP("electricity|SO2|Asthma symptoms cough", US_national_yearly!$D:$AM, 33, FALSE) / VLOOKUP("electricity|SO2|Asthma symptoms cough", US_national_yearly!$D:$AM, 10, FALSE), 1)</f>
        <v>4.0184970306589313E-3</v>
      </c>
      <c r="Z6" s="7">
        <f>$B6 * IFERROR(VLOOKUP("electricity|SO2|Asthma symptoms cough", US_national_yearly!$D:$AM, 34, FALSE) / VLOOKUP("electricity|SO2|Asthma symptoms cough", US_national_yearly!$D:$AM, 10, FALSE), 1)</f>
        <v>4.0184970306589313E-3</v>
      </c>
      <c r="AA6" s="7">
        <f>$B6 * IFERROR(VLOOKUP("electricity|SO2|Asthma symptoms cough", US_national_yearly!$D:$AM, 35, FALSE) / VLOOKUP("electricity|SO2|Asthma symptoms cough", US_national_yearly!$D:$AM, 10, FALSE), 1)</f>
        <v>4.0184970306589313E-3</v>
      </c>
      <c r="AB6" s="7">
        <f>$B6 * IFERROR(VLOOKUP("electricity|SO2|Asthma symptoms cough", US_national_yearly!$D:$AM, 36, FALSE) / VLOOKUP("electricity|SO2|Asthma symptoms cough", US_national_yearly!$D:$AM, 10, FALSE), 1)</f>
        <v>4.0184970306589313E-3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5.411480766601846E-3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5.411480766601846E-3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5.411480766601846E-3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5.411480766601846E-3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5.411480766601846E-3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5.411480766601846E-3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5.411480766601846E-3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5.411480766601846E-3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5.411480766601846E-3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5.411480766601846E-3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5.411480766601846E-3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5.411480766601846E-3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5.411480766601846E-3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5.411480766601846E-3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5.411480766601846E-3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5.411480766601846E-3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5.411480766601846E-3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5.411480766601846E-3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5.411480766601846E-3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5.411480766601846E-3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5.411480766601846E-3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5.411480766601846E-3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5.411480766601846E-3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5.411480766601846E-3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5.411480766601846E-3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5.411480766601846E-3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5.411480766601846E-3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8.2678561229389026E-3</v>
      </c>
      <c r="C8" s="7">
        <f>$B8 * IFERROR(VLOOKUP("electricity|SO2|Asthma symptoms wheeze", US_national_yearly!$D:$AM, 11, FALSE) / VLOOKUP("electricity|SO2|Asthma symptoms wheeze", US_national_yearly!$D:$AM, 10, FALSE), 1)</f>
        <v>8.2678561229389026E-3</v>
      </c>
      <c r="D8" s="7">
        <f>$B8 * IFERROR(VLOOKUP("electricity|SO2|Asthma symptoms wheeze", US_national_yearly!$D:$AM, 12, FALSE) / VLOOKUP("electricity|SO2|Asthma symptoms wheeze", US_national_yearly!$D:$AM, 10, FALSE), 1)</f>
        <v>8.2678561229389026E-3</v>
      </c>
      <c r="E8" s="7">
        <f>$B8 * IFERROR(VLOOKUP("electricity|SO2|Asthma symptoms wheeze", US_national_yearly!$D:$AM, 13, FALSE) / VLOOKUP("electricity|SO2|Asthma symptoms wheeze", US_national_yearly!$D:$AM, 10, FALSE), 1)</f>
        <v>8.2678561229389026E-3</v>
      </c>
      <c r="F8" s="7">
        <f>$B8 * IFERROR(VLOOKUP("electricity|SO2|Asthma symptoms wheeze", US_national_yearly!$D:$AM, 14, FALSE) / VLOOKUP("electricity|SO2|Asthma symptoms wheeze", US_national_yearly!$D:$AM, 10, FALSE), 1)</f>
        <v>8.2678561229389026E-3</v>
      </c>
      <c r="G8" s="7">
        <f>$B8 * IFERROR(VLOOKUP("electricity|SO2|Asthma symptoms wheeze", US_national_yearly!$D:$AM, 15, FALSE) / VLOOKUP("electricity|SO2|Asthma symptoms wheeze", US_national_yearly!$D:$AM, 10, FALSE), 1)</f>
        <v>8.2678561229389026E-3</v>
      </c>
      <c r="H8" s="7">
        <f>$B8 * IFERROR(VLOOKUP("electricity|SO2|Asthma symptoms wheeze", US_national_yearly!$D:$AM, 16, FALSE) / VLOOKUP("electricity|SO2|Asthma symptoms wheeze", US_national_yearly!$D:$AM, 10, FALSE), 1)</f>
        <v>8.2678561229389026E-3</v>
      </c>
      <c r="I8" s="7">
        <f>$B8 * IFERROR(VLOOKUP("electricity|SO2|Asthma symptoms wheeze", US_national_yearly!$D:$AM, 17, FALSE) / VLOOKUP("electricity|SO2|Asthma symptoms wheeze", US_national_yearly!$D:$AM, 10, FALSE), 1)</f>
        <v>8.2678561229389026E-3</v>
      </c>
      <c r="J8" s="7">
        <f>$B8 * IFERROR(VLOOKUP("electricity|SO2|Asthma symptoms wheeze", US_national_yearly!$D:$AM, 18, FALSE) / VLOOKUP("electricity|SO2|Asthma symptoms wheeze", US_national_yearly!$D:$AM, 10, FALSE), 1)</f>
        <v>8.2678561229389026E-3</v>
      </c>
      <c r="K8" s="7">
        <f>$B8 * IFERROR(VLOOKUP("electricity|SO2|Asthma symptoms wheeze", US_national_yearly!$D:$AM, 19, FALSE) / VLOOKUP("electricity|SO2|Asthma symptoms wheeze", US_national_yearly!$D:$AM, 10, FALSE), 1)</f>
        <v>8.2678561229389026E-3</v>
      </c>
      <c r="L8" s="7">
        <f>$B8 * IFERROR(VLOOKUP("electricity|SO2|Asthma symptoms wheeze", US_national_yearly!$D:$AM, 20, FALSE) / VLOOKUP("electricity|SO2|Asthma symptoms wheeze", US_national_yearly!$D:$AM, 10, FALSE), 1)</f>
        <v>8.2678561229389026E-3</v>
      </c>
      <c r="M8" s="7">
        <f>$B8 * IFERROR(VLOOKUP("electricity|SO2|Asthma symptoms wheeze", US_national_yearly!$D:$AM, 21, FALSE) / VLOOKUP("electricity|SO2|Asthma symptoms wheeze", US_national_yearly!$D:$AM, 10, FALSE), 1)</f>
        <v>8.2678561229389026E-3</v>
      </c>
      <c r="N8" s="7">
        <f>$B8 * IFERROR(VLOOKUP("electricity|SO2|Asthma symptoms wheeze", US_national_yearly!$D:$AM, 22, FALSE) / VLOOKUP("electricity|SO2|Asthma symptoms wheeze", US_national_yearly!$D:$AM, 10, FALSE), 1)</f>
        <v>8.2678561229389026E-3</v>
      </c>
      <c r="O8" s="7">
        <f>$B8 * IFERROR(VLOOKUP("electricity|SO2|Asthma symptoms wheeze", US_national_yearly!$D:$AM, 23, FALSE) / VLOOKUP("electricity|SO2|Asthma symptoms wheeze", US_national_yearly!$D:$AM, 10, FALSE), 1)</f>
        <v>8.2678561229389026E-3</v>
      </c>
      <c r="P8" s="7">
        <f>$B8 * IFERROR(VLOOKUP("electricity|SO2|Asthma symptoms wheeze", US_national_yearly!$D:$AM, 24, FALSE) / VLOOKUP("electricity|SO2|Asthma symptoms wheeze", US_national_yearly!$D:$AM, 10, FALSE), 1)</f>
        <v>8.2678561229389026E-3</v>
      </c>
      <c r="Q8" s="7">
        <f>$B8 * IFERROR(VLOOKUP("electricity|SO2|Asthma symptoms wheeze", US_national_yearly!$D:$AM, 25, FALSE) / VLOOKUP("electricity|SO2|Asthma symptoms wheeze", US_national_yearly!$D:$AM, 10, FALSE), 1)</f>
        <v>8.2678561229389026E-3</v>
      </c>
      <c r="R8" s="7">
        <f>$B8 * IFERROR(VLOOKUP("electricity|SO2|Asthma symptoms wheeze", US_national_yearly!$D:$AM, 26, FALSE) / VLOOKUP("electricity|SO2|Asthma symptoms wheeze", US_national_yearly!$D:$AM, 10, FALSE), 1)</f>
        <v>8.2678561229389026E-3</v>
      </c>
      <c r="S8" s="7">
        <f>$B8 * IFERROR(VLOOKUP("electricity|SO2|Asthma symptoms wheeze", US_national_yearly!$D:$AM, 27, FALSE) / VLOOKUP("electricity|SO2|Asthma symptoms wheeze", US_national_yearly!$D:$AM, 10, FALSE), 1)</f>
        <v>8.2678561229389026E-3</v>
      </c>
      <c r="T8" s="7">
        <f>$B8 * IFERROR(VLOOKUP("electricity|SO2|Asthma symptoms wheeze", US_national_yearly!$D:$AM, 28, FALSE) / VLOOKUP("electricity|SO2|Asthma symptoms wheeze", US_national_yearly!$D:$AM, 10, FALSE), 1)</f>
        <v>8.2678561229389026E-3</v>
      </c>
      <c r="U8" s="7">
        <f>$B8 * IFERROR(VLOOKUP("electricity|SO2|Asthma symptoms wheeze", US_national_yearly!$D:$AM, 29, FALSE) / VLOOKUP("electricity|SO2|Asthma symptoms wheeze", US_national_yearly!$D:$AM, 10, FALSE), 1)</f>
        <v>8.2678561229389026E-3</v>
      </c>
      <c r="V8" s="7">
        <f>$B8 * IFERROR(VLOOKUP("electricity|SO2|Asthma symptoms wheeze", US_national_yearly!$D:$AM, 30, FALSE) / VLOOKUP("electricity|SO2|Asthma symptoms wheeze", US_national_yearly!$D:$AM, 10, FALSE), 1)</f>
        <v>8.2678561229389026E-3</v>
      </c>
      <c r="W8" s="7">
        <f>$B8 * IFERROR(VLOOKUP("electricity|SO2|Asthma symptoms wheeze", US_national_yearly!$D:$AM, 31, FALSE) / VLOOKUP("electricity|SO2|Asthma symptoms wheeze", US_national_yearly!$D:$AM, 10, FALSE), 1)</f>
        <v>8.2678561229389026E-3</v>
      </c>
      <c r="X8" s="7">
        <f>$B8 * IFERROR(VLOOKUP("electricity|SO2|Asthma symptoms wheeze", US_national_yearly!$D:$AM, 32, FALSE) / VLOOKUP("electricity|SO2|Asthma symptoms wheeze", US_national_yearly!$D:$AM, 10, FALSE), 1)</f>
        <v>8.2678561229389026E-3</v>
      </c>
      <c r="Y8" s="7">
        <f>$B8 * IFERROR(VLOOKUP("electricity|SO2|Asthma symptoms wheeze", US_national_yearly!$D:$AM, 33, FALSE) / VLOOKUP("electricity|SO2|Asthma symptoms wheeze", US_national_yearly!$D:$AM, 10, FALSE), 1)</f>
        <v>8.2678561229389026E-3</v>
      </c>
      <c r="Z8" s="7">
        <f>$B8 * IFERROR(VLOOKUP("electricity|SO2|Asthma symptoms wheeze", US_national_yearly!$D:$AM, 34, FALSE) / VLOOKUP("electricity|SO2|Asthma symptoms wheeze", US_national_yearly!$D:$AM, 10, FALSE), 1)</f>
        <v>8.2678561229389026E-3</v>
      </c>
      <c r="AA8" s="7">
        <f>$B8 * IFERROR(VLOOKUP("electricity|SO2|Asthma symptoms wheeze", US_national_yearly!$D:$AM, 35, FALSE) / VLOOKUP("electricity|SO2|Asthma symptoms wheeze", US_national_yearly!$D:$AM, 10, FALSE), 1)</f>
        <v>8.2678561229389026E-3</v>
      </c>
      <c r="AB8" s="7">
        <f>$B8 * IFERROR(VLOOKUP("electricity|SO2|Asthma symptoms wheeze", US_national_yearly!$D:$AM, 36, FALSE) / VLOOKUP("electricity|SO2|Asthma symptoms wheeze", US_national_yearly!$D:$AM, 10, FALSE), 1)</f>
        <v>8.2678561229389026E-3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1.1557297328320212E-4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1.1625365543985568E-4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1.1693433759650929E-4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1.1761501975316286E-4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1.1829570190981646E-4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1.1903743823597026E-4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1.1977917456212408E-4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1.2049273574777787E-4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1.212062969334317E-4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1.2191985811908552E-4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1.2263341930473932E-4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1.2334698049039315E-4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1.2385878967335402E-4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1.2437059885631491E-4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1.2488240803927578E-4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1.2539421722223667E-4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1.2590602640519756E-4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1.2638909893602723E-4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1.2687217146685692E-4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1.2735524399768661E-4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1.2783831652851631E-4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1.28321389059346E-4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1.2878481355256297E-4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1.2924823804577997E-4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1.2971166253899696E-4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1.3017508703221393E-4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1.3063851152543093E-4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7.1660634554961535E-4</v>
      </c>
      <c r="C13" s="7">
        <f>$B13 * IFERROR(VLOOKUP("electricity|SO2|Non-fatal heart attacks", US_national_yearly!$D:$AM, 11, FALSE) / VLOOKUP("electricity|SO2|Non-fatal heart attacks", US_national_yearly!$D:$AM, 10, FALSE), 1)</f>
        <v>7.3771439357750955E-4</v>
      </c>
      <c r="D13" s="7">
        <f>$B13 * IFERROR(VLOOKUP("electricity|SO2|Non-fatal heart attacks", US_national_yearly!$D:$AM, 12, FALSE) / VLOOKUP("electricity|SO2|Non-fatal heart attacks", US_national_yearly!$D:$AM, 10, FALSE), 1)</f>
        <v>7.5882244160540354E-4</v>
      </c>
      <c r="E13" s="7">
        <f>$B13 * IFERROR(VLOOKUP("electricity|SO2|Non-fatal heart attacks", US_national_yearly!$D:$AM, 13, FALSE) / VLOOKUP("electricity|SO2|Non-fatal heart attacks", US_national_yearly!$D:$AM, 10, FALSE), 1)</f>
        <v>7.7993048963329774E-4</v>
      </c>
      <c r="F13" s="7">
        <f>$B13 * IFERROR(VLOOKUP("electricity|SO2|Non-fatal heart attacks", US_national_yearly!$D:$AM, 14, FALSE) / VLOOKUP("electricity|SO2|Non-fatal heart attacks", US_national_yearly!$D:$AM, 10, FALSE), 1)</f>
        <v>8.0103853766119184E-4</v>
      </c>
      <c r="G13" s="7">
        <f>$B13 * IFERROR(VLOOKUP("electricity|SO2|Non-fatal heart attacks", US_national_yearly!$D:$AM, 15, FALSE) / VLOOKUP("electricity|SO2|Non-fatal heart attacks", US_national_yearly!$D:$AM, 10, FALSE), 1)</f>
        <v>8.2107070854577253E-4</v>
      </c>
      <c r="H13" s="7">
        <f>$B13 * IFERROR(VLOOKUP("electricity|SO2|Non-fatal heart attacks", US_national_yearly!$D:$AM, 16, FALSE) / VLOOKUP("electricity|SO2|Non-fatal heart attacks", US_national_yearly!$D:$AM, 10, FALSE), 1)</f>
        <v>8.4110287943035334E-4</v>
      </c>
      <c r="I13" s="7">
        <f>$B13 * IFERROR(VLOOKUP("electricity|SO2|Non-fatal heart attacks", US_national_yearly!$D:$AM, 17, FALSE) / VLOOKUP("electricity|SO2|Non-fatal heart attacks", US_national_yearly!$D:$AM, 10, FALSE), 1)</f>
        <v>8.5741678969806264E-4</v>
      </c>
      <c r="J13" s="7">
        <f>$B13 * IFERROR(VLOOKUP("electricity|SO2|Non-fatal heart attacks", US_national_yearly!$D:$AM, 18, FALSE) / VLOOKUP("electricity|SO2|Non-fatal heart attacks", US_national_yearly!$D:$AM, 10, FALSE), 1)</f>
        <v>8.7373069996577184E-4</v>
      </c>
      <c r="K13" s="7">
        <f>$B13 * IFERROR(VLOOKUP("electricity|SO2|Non-fatal heart attacks", US_national_yearly!$D:$AM, 19, FALSE) / VLOOKUP("electricity|SO2|Non-fatal heart attacks", US_national_yearly!$D:$AM, 10, FALSE), 1)</f>
        <v>8.9004461023348114E-4</v>
      </c>
      <c r="L13" s="7">
        <f>$B13 * IFERROR(VLOOKUP("electricity|SO2|Non-fatal heart attacks", US_national_yearly!$D:$AM, 20, FALSE) / VLOOKUP("electricity|SO2|Non-fatal heart attacks", US_national_yearly!$D:$AM, 10, FALSE), 1)</f>
        <v>9.0635852050119023E-4</v>
      </c>
      <c r="M13" s="7">
        <f>$B13 * IFERROR(VLOOKUP("electricity|SO2|Non-fatal heart attacks", US_national_yearly!$D:$AM, 21, FALSE) / VLOOKUP("electricity|SO2|Non-fatal heart attacks", US_national_yearly!$D:$AM, 10, FALSE), 1)</f>
        <v>9.2267243076889953E-4</v>
      </c>
      <c r="N13" s="7">
        <f>$B13 * IFERROR(VLOOKUP("electricity|SO2|Non-fatal heart attacks", US_national_yearly!$D:$AM, 22, FALSE) / VLOOKUP("electricity|SO2|Non-fatal heart attacks", US_national_yearly!$D:$AM, 10, FALSE), 1)</f>
        <v>9.3343068655690211E-4</v>
      </c>
      <c r="O13" s="7">
        <f>$B13 * IFERROR(VLOOKUP("electricity|SO2|Non-fatal heart attacks", US_national_yearly!$D:$AM, 23, FALSE) / VLOOKUP("electricity|SO2|Non-fatal heart attacks", US_national_yearly!$D:$AM, 10, FALSE), 1)</f>
        <v>9.4418894234490447E-4</v>
      </c>
      <c r="P13" s="7">
        <f>$B13 * IFERROR(VLOOKUP("electricity|SO2|Non-fatal heart attacks", US_national_yearly!$D:$AM, 24, FALSE) / VLOOKUP("electricity|SO2|Non-fatal heart attacks", US_national_yearly!$D:$AM, 10, FALSE), 1)</f>
        <v>9.5494719813290704E-4</v>
      </c>
      <c r="Q13" s="7">
        <f>$B13 * IFERROR(VLOOKUP("electricity|SO2|Non-fatal heart attacks", US_national_yearly!$D:$AM, 25, FALSE) / VLOOKUP("electricity|SO2|Non-fatal heart attacks", US_national_yearly!$D:$AM, 10, FALSE), 1)</f>
        <v>9.6570545392090962E-4</v>
      </c>
      <c r="R13" s="7">
        <f>$B13 * IFERROR(VLOOKUP("electricity|SO2|Non-fatal heart attacks", US_national_yearly!$D:$AM, 26, FALSE) / VLOOKUP("electricity|SO2|Non-fatal heart attacks", US_national_yearly!$D:$AM, 10, FALSE), 1)</f>
        <v>9.764637097089122E-4</v>
      </c>
      <c r="S13" s="7">
        <f>$B13 * IFERROR(VLOOKUP("electricity|SO2|Non-fatal heart attacks", US_national_yearly!$D:$AM, 27, FALSE) / VLOOKUP("electricity|SO2|Non-fatal heart attacks", US_national_yearly!$D:$AM, 10, FALSE), 1)</f>
        <v>9.8231809649426032E-4</v>
      </c>
      <c r="T13" s="7">
        <f>$B13 * IFERROR(VLOOKUP("electricity|SO2|Non-fatal heart attacks", US_national_yearly!$D:$AM, 28, FALSE) / VLOOKUP("electricity|SO2|Non-fatal heart attacks", US_national_yearly!$D:$AM, 10, FALSE), 1)</f>
        <v>9.8817248327960866E-4</v>
      </c>
      <c r="U13" s="7">
        <f>$B13 * IFERROR(VLOOKUP("electricity|SO2|Non-fatal heart attacks", US_national_yearly!$D:$AM, 29, FALSE) / VLOOKUP("electricity|SO2|Non-fatal heart attacks", US_national_yearly!$D:$AM, 10, FALSE), 1)</f>
        <v>9.94026870064957E-4</v>
      </c>
      <c r="V13" s="7">
        <f>$B13 * IFERROR(VLOOKUP("electricity|SO2|Non-fatal heart attacks", US_national_yearly!$D:$AM, 30, FALSE) / VLOOKUP("electricity|SO2|Non-fatal heart attacks", US_national_yearly!$D:$AM, 10, FALSE), 1)</f>
        <v>9.9988125685030512E-4</v>
      </c>
      <c r="W13" s="7">
        <f>$B13 * IFERROR(VLOOKUP("electricity|SO2|Non-fatal heart attacks", US_national_yearly!$D:$AM, 31, FALSE) / VLOOKUP("electricity|SO2|Non-fatal heart attacks", US_national_yearly!$D:$AM, 10, FALSE), 1)</f>
        <v>1.0057356436356535E-3</v>
      </c>
      <c r="X13" s="7">
        <f>$B13 * IFERROR(VLOOKUP("electricity|SO2|Non-fatal heart attacks", US_national_yearly!$D:$AM, 32, FALSE) / VLOOKUP("electricity|SO2|Non-fatal heart attacks", US_national_yearly!$D:$AM, 10, FALSE), 1)</f>
        <v>1.0102327900527838E-3</v>
      </c>
      <c r="Y13" s="7">
        <f>$B13 * IFERROR(VLOOKUP("electricity|SO2|Non-fatal heart attacks", US_national_yearly!$D:$AM, 33, FALSE) / VLOOKUP("electricity|SO2|Non-fatal heart attacks", US_national_yearly!$D:$AM, 10, FALSE), 1)</f>
        <v>1.0147299364699144E-3</v>
      </c>
      <c r="Z13" s="7">
        <f>$B13 * IFERROR(VLOOKUP("electricity|SO2|Non-fatal heart attacks", US_national_yearly!$D:$AM, 34, FALSE) / VLOOKUP("electricity|SO2|Non-fatal heart attacks", US_national_yearly!$D:$AM, 10, FALSE), 1)</f>
        <v>1.0192270828870448E-3</v>
      </c>
      <c r="AA13" s="7">
        <f>$B13 * IFERROR(VLOOKUP("electricity|SO2|Non-fatal heart attacks", US_national_yearly!$D:$AM, 35, FALSE) / VLOOKUP("electricity|SO2|Non-fatal heart attacks", US_national_yearly!$D:$AM, 10, FALSE), 1)</f>
        <v>1.0237242293041754E-3</v>
      </c>
      <c r="AB13" s="7">
        <f>$B13 * IFERROR(VLOOKUP("electricity|SO2|Non-fatal heart attacks", US_national_yearly!$D:$AM, 36, FALSE) / VLOOKUP("electricity|SO2|Non-fatal heart attacks", US_national_yearly!$D:$AM, 10, FALSE), 1)</f>
        <v>1.028221375721306E-3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0.51135493390021025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0.51263994438717908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0.5139249548741478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0.51520996536111674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0.51649497584808535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0.51835153819088375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0.52020810053368227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0.52339224789051764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0.52657639524735311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0.52976054260418859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0.53294468996102418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0.53612883731785954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0.54051386817016822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0.5448988990224769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0.54928392987478547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0.55366896072709415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0.55805399157940272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0.56254933954085351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0.56704468750230441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0.57154003546375509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0.57603538342520588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0.58053073138665667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0.58448614491410111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0.58844155844154555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0.59239697196898988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0.59635238549643432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0.60030779902387876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8.6286235065224273E-2</v>
      </c>
      <c r="C15" s="7">
        <f>$B15 * IFERROR(VLOOKUP("electricity|SO2|Work loss days", US_national_yearly!$D:$AM, 11, FALSE) / VLOOKUP("electricity|SO2|Work loss days", US_national_yearly!$D:$AM, 10, FALSE), 1)</f>
        <v>8.6565632503934925E-2</v>
      </c>
      <c r="D15" s="7">
        <f>$B15 * IFERROR(VLOOKUP("electricity|SO2|Work loss days", US_national_yearly!$D:$AM, 12, FALSE) / VLOOKUP("electricity|SO2|Work loss days", US_national_yearly!$D:$AM, 10, FALSE), 1)</f>
        <v>8.6845029942645563E-2</v>
      </c>
      <c r="E15" s="7">
        <f>$B15 * IFERROR(VLOOKUP("electricity|SO2|Work loss days", US_national_yearly!$D:$AM, 13, FALSE) / VLOOKUP("electricity|SO2|Work loss days", US_national_yearly!$D:$AM, 10, FALSE), 1)</f>
        <v>8.7124427381356243E-2</v>
      </c>
      <c r="F15" s="7">
        <f>$B15 * IFERROR(VLOOKUP("electricity|SO2|Work loss days", US_national_yearly!$D:$AM, 14, FALSE) / VLOOKUP("electricity|SO2|Work loss days", US_national_yearly!$D:$AM, 10, FALSE), 1)</f>
        <v>8.740382482006688E-2</v>
      </c>
      <c r="G15" s="7">
        <f>$B15 * IFERROR(VLOOKUP("electricity|SO2|Work loss days", US_national_yearly!$D:$AM, 15, FALSE) / VLOOKUP("electricity|SO2|Work loss days", US_national_yearly!$D:$AM, 10, FALSE), 1)</f>
        <v>8.7761750251623721E-2</v>
      </c>
      <c r="H15" s="7">
        <f>$B15 * IFERROR(VLOOKUP("electricity|SO2|Work loss days", US_national_yearly!$D:$AM, 16, FALSE) / VLOOKUP("electricity|SO2|Work loss days", US_national_yearly!$D:$AM, 10, FALSE), 1)</f>
        <v>8.8119675683180562E-2</v>
      </c>
      <c r="I15" s="7">
        <f>$B15 * IFERROR(VLOOKUP("electricity|SO2|Work loss days", US_national_yearly!$D:$AM, 17, FALSE) / VLOOKUP("electricity|SO2|Work loss days", US_national_yearly!$D:$AM, 10, FALSE), 1)</f>
        <v>8.8643362691979866E-2</v>
      </c>
      <c r="J15" s="7">
        <f>$B15 * IFERROR(VLOOKUP("electricity|SO2|Work loss days", US_national_yearly!$D:$AM, 18, FALSE) / VLOOKUP("electricity|SO2|Work loss days", US_national_yearly!$D:$AM, 10, FALSE), 1)</f>
        <v>8.9167049700779155E-2</v>
      </c>
      <c r="K15" s="7">
        <f>$B15 * IFERROR(VLOOKUP("electricity|SO2|Work loss days", US_national_yearly!$D:$AM, 19, FALSE) / VLOOKUP("electricity|SO2|Work loss days", US_national_yearly!$D:$AM, 10, FALSE), 1)</f>
        <v>8.9690736709578486E-2</v>
      </c>
      <c r="L15" s="7">
        <f>$B15 * IFERROR(VLOOKUP("electricity|SO2|Work loss days", US_national_yearly!$D:$AM, 20, FALSE) / VLOOKUP("electricity|SO2|Work loss days", US_national_yearly!$D:$AM, 10, FALSE), 1)</f>
        <v>9.0214423718377776E-2</v>
      </c>
      <c r="M15" s="7">
        <f>$B15 * IFERROR(VLOOKUP("electricity|SO2|Work loss days", US_national_yearly!$D:$AM, 21, FALSE) / VLOOKUP("electricity|SO2|Work loss days", US_national_yearly!$D:$AM, 10, FALSE), 1)</f>
        <v>9.0738110727177107E-2</v>
      </c>
      <c r="N15" s="7">
        <f>$B15 * IFERROR(VLOOKUP("electricity|SO2|Work loss days", US_national_yearly!$D:$AM, 22, FALSE) / VLOOKUP("electricity|SO2|Work loss days", US_national_yearly!$D:$AM, 10, FALSE), 1)</f>
        <v>9.1400705031251375E-2</v>
      </c>
      <c r="O15" s="7">
        <f>$B15 * IFERROR(VLOOKUP("electricity|SO2|Work loss days", US_national_yearly!$D:$AM, 23, FALSE) / VLOOKUP("electricity|SO2|Work loss days", US_national_yearly!$D:$AM, 10, FALSE), 1)</f>
        <v>9.2063299335325671E-2</v>
      </c>
      <c r="P15" s="7">
        <f>$B15 * IFERROR(VLOOKUP("electricity|SO2|Work loss days", US_national_yearly!$D:$AM, 24, FALSE) / VLOOKUP("electricity|SO2|Work loss days", US_national_yearly!$D:$AM, 10, FALSE), 1)</f>
        <v>9.2725893639399967E-2</v>
      </c>
      <c r="Q15" s="7">
        <f>$B15 * IFERROR(VLOOKUP("electricity|SO2|Work loss days", US_national_yearly!$D:$AM, 25, FALSE) / VLOOKUP("electricity|SO2|Work loss days", US_national_yearly!$D:$AM, 10, FALSE), 1)</f>
        <v>9.3388487943474249E-2</v>
      </c>
      <c r="R15" s="7">
        <f>$B15 * IFERROR(VLOOKUP("electricity|SO2|Work loss days", US_national_yearly!$D:$AM, 26, FALSE) / VLOOKUP("electricity|SO2|Work loss days", US_national_yearly!$D:$AM, 10, FALSE), 1)</f>
        <v>9.4051082247548545E-2</v>
      </c>
      <c r="S15" s="7">
        <f>$B15 * IFERROR(VLOOKUP("electricity|SO2|Work loss days", US_national_yearly!$D:$AM, 27, FALSE) / VLOOKUP("electricity|SO2|Work loss days", US_national_yearly!$D:$AM, 10, FALSE), 1)</f>
        <v>9.4793912293770433E-2</v>
      </c>
      <c r="T15" s="7">
        <f>$B15 * IFERROR(VLOOKUP("electricity|SO2|Work loss days", US_national_yearly!$D:$AM, 28, FALSE) / VLOOKUP("electricity|SO2|Work loss days", US_national_yearly!$D:$AM, 10, FALSE), 1)</f>
        <v>9.5536742339992334E-2</v>
      </c>
      <c r="U15" s="7">
        <f>$B15 * IFERROR(VLOOKUP("electricity|SO2|Work loss days", US_national_yearly!$D:$AM, 29, FALSE) / VLOOKUP("electricity|SO2|Work loss days", US_national_yearly!$D:$AM, 10, FALSE), 1)</f>
        <v>9.6279572386214249E-2</v>
      </c>
      <c r="V15" s="7">
        <f>$B15 * IFERROR(VLOOKUP("electricity|SO2|Work loss days", US_national_yearly!$D:$AM, 30, FALSE) / VLOOKUP("electricity|SO2|Work loss days", US_national_yearly!$D:$AM, 10, FALSE), 1)</f>
        <v>9.7022402432436164E-2</v>
      </c>
      <c r="W15" s="7">
        <f>$B15 * IFERROR(VLOOKUP("electricity|SO2|Work loss days", US_national_yearly!$D:$AM, 31, FALSE) / VLOOKUP("electricity|SO2|Work loss days", US_national_yearly!$D:$AM, 10, FALSE), 1)</f>
        <v>9.7765232478658065E-2</v>
      </c>
      <c r="X15" s="7">
        <f>$B15 * IFERROR(VLOOKUP("electricity|SO2|Work loss days", US_national_yearly!$D:$AM, 32, FALSE) / VLOOKUP("electricity|SO2|Work loss days", US_national_yearly!$D:$AM, 10, FALSE), 1)</f>
        <v>9.8434448880049291E-2</v>
      </c>
      <c r="Y15" s="7">
        <f>$B15 * IFERROR(VLOOKUP("electricity|SO2|Work loss days", US_national_yearly!$D:$AM, 33, FALSE) / VLOOKUP("electricity|SO2|Work loss days", US_national_yearly!$D:$AM, 10, FALSE), 1)</f>
        <v>9.9103665281440517E-2</v>
      </c>
      <c r="Z15" s="7">
        <f>$B15 * IFERROR(VLOOKUP("electricity|SO2|Work loss days", US_national_yearly!$D:$AM, 34, FALSE) / VLOOKUP("electricity|SO2|Work loss days", US_national_yearly!$D:$AM, 10, FALSE), 1)</f>
        <v>9.9772881682831729E-2</v>
      </c>
      <c r="AA15" s="7">
        <f>$B15 * IFERROR(VLOOKUP("electricity|SO2|Work loss days", US_national_yearly!$D:$AM, 35, FALSE) / VLOOKUP("electricity|SO2|Work loss days", US_national_yearly!$D:$AM, 10, FALSE), 1)</f>
        <v>0.10044209808422296</v>
      </c>
      <c r="AB15" s="7">
        <f>$B15 * IFERROR(VLOOKUP("electricity|SO2|Work loss days", US_national_yearly!$D:$AM, 36, FALSE) / VLOOKUP("electricity|SO2|Work loss days", US_national_yearly!$D:$AM, 10, FALSE), 1)</f>
        <v>0.10111131448561418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1.8491461972421476E-4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1.9051804673158738E-4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1.9612147373896001E-4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2.0172490074633269E-4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2.0732832775370531E-4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2.1272967432976007E-4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2.1813102090581486E-4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2.2280718560726163E-4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2.274833503087084E-4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2.3215951501015517E-4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2.3683567971160188E-4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2.4151184441304865E-4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2.4470331435458677E-4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2.4789478429612487E-4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2.5108625423766312E-4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2.5427772417920122E-4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2.5746919412073931E-4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2.5921881640840201E-4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2.6096843869606465E-4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2.6271806098372729E-4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2.6446768327138993E-4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2.6621730555905258E-4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2.6742504851559357E-4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2.6863279147213451E-4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2.6984053442867545E-4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2.7104827738521638E-4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2.7225602034175738E-4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2.4524344240634512E-2</v>
      </c>
      <c r="C2" s="7">
        <f>$B2 * IFERROR(VLOOKUP("buildings|PM25|Premature mortality", US_national_yearly!$D:$AM, 11, FALSE) / VLOOKUP("buildings|PM25|Premature mortality", US_national_yearly!$D:$AM, 10, FALSE), 1)</f>
        <v>2.4828612590657172E-2</v>
      </c>
      <c r="D2" s="7">
        <f>$B2 * IFERROR(VLOOKUP("buildings|PM25|Premature mortality", US_national_yearly!$D:$AM, 12, FALSE) / VLOOKUP("buildings|PM25|Premature mortality", US_national_yearly!$D:$AM, 10, FALSE), 1)</f>
        <v>2.5132880940679832E-2</v>
      </c>
      <c r="E2" s="7">
        <f>$B2 * IFERROR(VLOOKUP("buildings|PM25|Premature mortality", US_national_yearly!$D:$AM, 13, FALSE) / VLOOKUP("buildings|PM25|Premature mortality", US_national_yearly!$D:$AM, 10, FALSE), 1)</f>
        <v>2.5437149290702493E-2</v>
      </c>
      <c r="F2" s="7">
        <f>$B2 * IFERROR(VLOOKUP("buildings|PM25|Premature mortality", US_national_yearly!$D:$AM, 14, FALSE) / VLOOKUP("buildings|PM25|Premature mortality", US_national_yearly!$D:$AM, 10, FALSE), 1)</f>
        <v>2.5741417640725149E-2</v>
      </c>
      <c r="G2" s="7">
        <f>$B2 * IFERROR(VLOOKUP("buildings|PM25|Premature mortality", US_national_yearly!$D:$AM, 15, FALSE) / VLOOKUP("buildings|PM25|Premature mortality", US_national_yearly!$D:$AM, 10, FALSE), 1)</f>
        <v>2.6333890514857471E-2</v>
      </c>
      <c r="H2" s="7">
        <f>$B2 * IFERROR(VLOOKUP("buildings|PM25|Premature mortality", US_national_yearly!$D:$AM, 16, FALSE) / VLOOKUP("buildings|PM25|Premature mortality", US_national_yearly!$D:$AM, 10, FALSE), 1)</f>
        <v>2.6926363388989794E-2</v>
      </c>
      <c r="I2" s="7">
        <f>$B2 * IFERROR(VLOOKUP("buildings|PM25|Premature mortality", US_national_yearly!$D:$AM, 17, FALSE) / VLOOKUP("buildings|PM25|Premature mortality", US_national_yearly!$D:$AM, 10, FALSE), 1)</f>
        <v>2.7316022593532781E-2</v>
      </c>
      <c r="J2" s="7">
        <f>$B2 * IFERROR(VLOOKUP("buildings|PM25|Premature mortality", US_national_yearly!$D:$AM, 18, FALSE) / VLOOKUP("buildings|PM25|Premature mortality", US_national_yearly!$D:$AM, 10, FALSE), 1)</f>
        <v>2.7705681798075768E-2</v>
      </c>
      <c r="K2" s="7">
        <f>$B2 * IFERROR(VLOOKUP("buildings|PM25|Premature mortality", US_national_yearly!$D:$AM, 19, FALSE) / VLOOKUP("buildings|PM25|Premature mortality", US_national_yearly!$D:$AM, 10, FALSE), 1)</f>
        <v>2.8095341002618759E-2</v>
      </c>
      <c r="L2" s="7">
        <f>$B2 * IFERROR(VLOOKUP("buildings|PM25|Premature mortality", US_national_yearly!$D:$AM, 20, FALSE) / VLOOKUP("buildings|PM25|Premature mortality", US_national_yearly!$D:$AM, 10, FALSE), 1)</f>
        <v>2.8485000207161746E-2</v>
      </c>
      <c r="M2" s="7">
        <f>$B2 * IFERROR(VLOOKUP("buildings|PM25|Premature mortality", US_national_yearly!$D:$AM, 21, FALSE) / VLOOKUP("buildings|PM25|Premature mortality", US_national_yearly!$D:$AM, 10, FALSE), 1)</f>
        <v>2.8874659411704733E-2</v>
      </c>
      <c r="N2" s="7">
        <f>$B2 * IFERROR(VLOOKUP("buildings|PM25|Premature mortality", US_national_yearly!$D:$AM, 22, FALSE) / VLOOKUP("buildings|PM25|Premature mortality", US_national_yearly!$D:$AM, 10, FALSE), 1)</f>
        <v>2.9177662750667032E-2</v>
      </c>
      <c r="O2" s="7">
        <f>$B2 * IFERROR(VLOOKUP("buildings|PM25|Premature mortality", US_national_yearly!$D:$AM, 23, FALSE) / VLOOKUP("buildings|PM25|Premature mortality", US_national_yearly!$D:$AM, 10, FALSE), 1)</f>
        <v>2.9480666089629338E-2</v>
      </c>
      <c r="P2" s="7">
        <f>$B2 * IFERROR(VLOOKUP("buildings|PM25|Premature mortality", US_national_yearly!$D:$AM, 24, FALSE) / VLOOKUP("buildings|PM25|Premature mortality", US_national_yearly!$D:$AM, 10, FALSE), 1)</f>
        <v>2.9783669428591637E-2</v>
      </c>
      <c r="Q2" s="7">
        <f>$B2 * IFERROR(VLOOKUP("buildings|PM25|Premature mortality", US_national_yearly!$D:$AM, 25, FALSE) / VLOOKUP("buildings|PM25|Premature mortality", US_national_yearly!$D:$AM, 10, FALSE), 1)</f>
        <v>3.0086672767553946E-2</v>
      </c>
      <c r="R2" s="7">
        <f>$B2 * IFERROR(VLOOKUP("buildings|PM25|Premature mortality", US_national_yearly!$D:$AM, 26, FALSE) / VLOOKUP("buildings|PM25|Premature mortality", US_national_yearly!$D:$AM, 10, FALSE), 1)</f>
        <v>3.0389676106516245E-2</v>
      </c>
      <c r="S2" s="7">
        <f>$B2 * IFERROR(VLOOKUP("buildings|PM25|Premature mortality", US_national_yearly!$D:$AM, 27, FALSE) / VLOOKUP("buildings|PM25|Premature mortality", US_national_yearly!$D:$AM, 10, FALSE), 1)</f>
        <v>3.0550725390869834E-2</v>
      </c>
      <c r="T2" s="7">
        <f>$B2 * IFERROR(VLOOKUP("buildings|PM25|Premature mortality", US_national_yearly!$D:$AM, 28, FALSE) / VLOOKUP("buildings|PM25|Premature mortality", US_national_yearly!$D:$AM, 10, FALSE), 1)</f>
        <v>3.0711774675223426E-2</v>
      </c>
      <c r="U2" s="7">
        <f>$B2 * IFERROR(VLOOKUP("buildings|PM25|Premature mortality", US_national_yearly!$D:$AM, 29, FALSE) / VLOOKUP("buildings|PM25|Premature mortality", US_national_yearly!$D:$AM, 10, FALSE), 1)</f>
        <v>3.0872823959577023E-2</v>
      </c>
      <c r="V2" s="7">
        <f>$B2 * IFERROR(VLOOKUP("buildings|PM25|Premature mortality", US_national_yearly!$D:$AM, 30, FALSE) / VLOOKUP("buildings|PM25|Premature mortality", US_national_yearly!$D:$AM, 10, FALSE), 1)</f>
        <v>3.1033873243930619E-2</v>
      </c>
      <c r="W2" s="7">
        <f>$B2 * IFERROR(VLOOKUP("buildings|PM25|Premature mortality", US_national_yearly!$D:$AM, 31, FALSE) / VLOOKUP("buildings|PM25|Premature mortality", US_national_yearly!$D:$AM, 10, FALSE), 1)</f>
        <v>3.1194922528284208E-2</v>
      </c>
      <c r="X2" s="7">
        <f>$B2 * IFERROR(VLOOKUP("buildings|PM25|Premature mortality", US_national_yearly!$D:$AM, 32, FALSE) / VLOOKUP("buildings|PM25|Premature mortality", US_national_yearly!$D:$AM, 10, FALSE), 1)</f>
        <v>3.1223829581895401E-2</v>
      </c>
      <c r="Y2" s="7">
        <f>$B2 * IFERROR(VLOOKUP("buildings|PM25|Premature mortality", US_national_yearly!$D:$AM, 33, FALSE) / VLOOKUP("buildings|PM25|Premature mortality", US_national_yearly!$D:$AM, 10, FALSE), 1)</f>
        <v>3.1252736635506588E-2</v>
      </c>
      <c r="Z2" s="7">
        <f>$B2 * IFERROR(VLOOKUP("buildings|PM25|Premature mortality", US_national_yearly!$D:$AM, 34, FALSE) / VLOOKUP("buildings|PM25|Premature mortality", US_national_yearly!$D:$AM, 10, FALSE), 1)</f>
        <v>3.1281643689117782E-2</v>
      </c>
      <c r="AA2" s="7">
        <f>$B2 * IFERROR(VLOOKUP("buildings|PM25|Premature mortality", US_national_yearly!$D:$AM, 35, FALSE) / VLOOKUP("buildings|PM25|Premature mortality", US_national_yearly!$D:$AM, 10, FALSE), 1)</f>
        <v>3.1310550742728975E-2</v>
      </c>
      <c r="AB2" s="7">
        <f>$B2 * IFERROR(VLOOKUP("buildings|PM25|Premature mortality", US_national_yearly!$D:$AM, 36, FALSE) / VLOOKUP("buildings|PM25|Premature mortality", US_national_yearly!$D:$AM, 10, FALSE), 1)</f>
        <v>3.1339457796340162E-2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7.2665683826440768E-5</v>
      </c>
      <c r="C3" s="7">
        <f>$B3 * IFERROR(VLOOKUP("buildings|PM25|Infant mortality", US_national_yearly!$D:$AM, 11, FALSE) / VLOOKUP("buildings|PM25|Infant mortality", US_national_yearly!$D:$AM, 10, FALSE), 1)</f>
        <v>7.2036281456731564E-5</v>
      </c>
      <c r="D3" s="7">
        <f>$B3 * IFERROR(VLOOKUP("buildings|PM25|Infant mortality", US_national_yearly!$D:$AM, 12, FALSE) / VLOOKUP("buildings|PM25|Infant mortality", US_national_yearly!$D:$AM, 10, FALSE), 1)</f>
        <v>7.1406879087022361E-5</v>
      </c>
      <c r="E3" s="7">
        <f>$B3 * IFERROR(VLOOKUP("buildings|PM25|Infant mortality", US_national_yearly!$D:$AM, 13, FALSE) / VLOOKUP("buildings|PM25|Infant mortality", US_national_yearly!$D:$AM, 10, FALSE), 1)</f>
        <v>7.0777476717313157E-5</v>
      </c>
      <c r="F3" s="7">
        <f>$B3 * IFERROR(VLOOKUP("buildings|PM25|Infant mortality", US_national_yearly!$D:$AM, 14, FALSE) / VLOOKUP("buildings|PM25|Infant mortality", US_national_yearly!$D:$AM, 10, FALSE), 1)</f>
        <v>7.0148074347603953E-5</v>
      </c>
      <c r="G3" s="7">
        <f>$B3 * IFERROR(VLOOKUP("buildings|PM25|Infant mortality", US_national_yearly!$D:$AM, 15, FALSE) / VLOOKUP("buildings|PM25|Infant mortality", US_national_yearly!$D:$AM, 10, FALSE), 1)</f>
        <v>4.6645924526875878E-5</v>
      </c>
      <c r="H3" s="7">
        <f>$B3 * IFERROR(VLOOKUP("buildings|PM25|Infant mortality", US_national_yearly!$D:$AM, 16, FALSE) / VLOOKUP("buildings|PM25|Infant mortality", US_national_yearly!$D:$AM, 10, FALSE), 1)</f>
        <v>2.3143774706147806E-5</v>
      </c>
      <c r="I3" s="7">
        <f>$B3 * IFERROR(VLOOKUP("buildings|PM25|Infant mortality", US_national_yearly!$D:$AM, 17, FALSE) / VLOOKUP("buildings|PM25|Infant mortality", US_national_yearly!$D:$AM, 10, FALSE), 1)</f>
        <v>2.2992960482333854E-5</v>
      </c>
      <c r="J3" s="7">
        <f>$B3 * IFERROR(VLOOKUP("buildings|PM25|Infant mortality", US_national_yearly!$D:$AM, 18, FALSE) / VLOOKUP("buildings|PM25|Infant mortality", US_national_yearly!$D:$AM, 10, FALSE), 1)</f>
        <v>2.2842146258519906E-5</v>
      </c>
      <c r="K3" s="7">
        <f>$B3 * IFERROR(VLOOKUP("buildings|PM25|Infant mortality", US_national_yearly!$D:$AM, 19, FALSE) / VLOOKUP("buildings|PM25|Infant mortality", US_national_yearly!$D:$AM, 10, FALSE), 1)</f>
        <v>2.2691332034705954E-5</v>
      </c>
      <c r="L3" s="7">
        <f>$B3 * IFERROR(VLOOKUP("buildings|PM25|Infant mortality", US_national_yearly!$D:$AM, 20, FALSE) / VLOOKUP("buildings|PM25|Infant mortality", US_national_yearly!$D:$AM, 10, FALSE), 1)</f>
        <v>2.2540517810892005E-5</v>
      </c>
      <c r="M3" s="7">
        <f>$B3 * IFERROR(VLOOKUP("buildings|PM25|Infant mortality", US_national_yearly!$D:$AM, 21, FALSE) / VLOOKUP("buildings|PM25|Infant mortality", US_national_yearly!$D:$AM, 10, FALSE), 1)</f>
        <v>2.2389703587078053E-5</v>
      </c>
      <c r="N3" s="7">
        <f>$B3 * IFERROR(VLOOKUP("buildings|PM25|Infant mortality", US_national_yearly!$D:$AM, 22, FALSE) / VLOOKUP("buildings|PM25|Infant mortality", US_national_yearly!$D:$AM, 10, FALSE), 1)</f>
        <v>2.2295339774476227E-5</v>
      </c>
      <c r="O3" s="7">
        <f>$B3 * IFERROR(VLOOKUP("buildings|PM25|Infant mortality", US_national_yearly!$D:$AM, 23, FALSE) / VLOOKUP("buildings|PM25|Infant mortality", US_national_yearly!$D:$AM, 10, FALSE), 1)</f>
        <v>2.2200975961874401E-5</v>
      </c>
      <c r="P3" s="7">
        <f>$B3 * IFERROR(VLOOKUP("buildings|PM25|Infant mortality", US_national_yearly!$D:$AM, 24, FALSE) / VLOOKUP("buildings|PM25|Infant mortality", US_national_yearly!$D:$AM, 10, FALSE), 1)</f>
        <v>2.2106612149272575E-5</v>
      </c>
      <c r="Q3" s="7">
        <f>$B3 * IFERROR(VLOOKUP("buildings|PM25|Infant mortality", US_national_yearly!$D:$AM, 25, FALSE) / VLOOKUP("buildings|PM25|Infant mortality", US_national_yearly!$D:$AM, 10, FALSE), 1)</f>
        <v>2.2012248336670748E-5</v>
      </c>
      <c r="R3" s="7">
        <f>$B3 * IFERROR(VLOOKUP("buildings|PM25|Infant mortality", US_national_yearly!$D:$AM, 26, FALSE) / VLOOKUP("buildings|PM25|Infant mortality", US_national_yearly!$D:$AM, 10, FALSE), 1)</f>
        <v>2.1917884524068922E-5</v>
      </c>
      <c r="S3" s="7">
        <f>$B3 * IFERROR(VLOOKUP("buildings|PM25|Infant mortality", US_national_yearly!$D:$AM, 27, FALSE) / VLOOKUP("buildings|PM25|Infant mortality", US_national_yearly!$D:$AM, 10, FALSE), 1)</f>
        <v>2.1800064815336154E-5</v>
      </c>
      <c r="T3" s="7">
        <f>$B3 * IFERROR(VLOOKUP("buildings|PM25|Infant mortality", US_national_yearly!$D:$AM, 28, FALSE) / VLOOKUP("buildings|PM25|Infant mortality", US_national_yearly!$D:$AM, 10, FALSE), 1)</f>
        <v>2.1682245106603389E-5</v>
      </c>
      <c r="U3" s="7">
        <f>$B3 * IFERROR(VLOOKUP("buildings|PM25|Infant mortality", US_national_yearly!$D:$AM, 29, FALSE) / VLOOKUP("buildings|PM25|Infant mortality", US_national_yearly!$D:$AM, 10, FALSE), 1)</f>
        <v>2.1564425397870615E-5</v>
      </c>
      <c r="V3" s="7">
        <f>$B3 * IFERROR(VLOOKUP("buildings|PM25|Infant mortality", US_national_yearly!$D:$AM, 30, FALSE) / VLOOKUP("buildings|PM25|Infant mortality", US_national_yearly!$D:$AM, 10, FALSE), 1)</f>
        <v>2.1446605689137853E-5</v>
      </c>
      <c r="W3" s="7">
        <f>$B3 * IFERROR(VLOOKUP("buildings|PM25|Infant mortality", US_national_yearly!$D:$AM, 31, FALSE) / VLOOKUP("buildings|PM25|Infant mortality", US_national_yearly!$D:$AM, 10, FALSE), 1)</f>
        <v>2.1328785980405085E-5</v>
      </c>
      <c r="X3" s="7">
        <f>$B3 * IFERROR(VLOOKUP("buildings|PM25|Infant mortality", US_national_yearly!$D:$AM, 32, FALSE) / VLOOKUP("buildings|PM25|Infant mortality", US_national_yearly!$D:$AM, 10, FALSE), 1)</f>
        <v>2.1201937894215145E-5</v>
      </c>
      <c r="Y3" s="7">
        <f>$B3 * IFERROR(VLOOKUP("buildings|PM25|Infant mortality", US_national_yearly!$D:$AM, 33, FALSE) / VLOOKUP("buildings|PM25|Infant mortality", US_national_yearly!$D:$AM, 10, FALSE), 1)</f>
        <v>2.1075089808025211E-5</v>
      </c>
      <c r="Z3" s="7">
        <f>$B3 * IFERROR(VLOOKUP("buildings|PM25|Infant mortality", US_national_yearly!$D:$AM, 34, FALSE) / VLOOKUP("buildings|PM25|Infant mortality", US_national_yearly!$D:$AM, 10, FALSE), 1)</f>
        <v>2.0948241721835273E-5</v>
      </c>
      <c r="AA3" s="7">
        <f>$B3 * IFERROR(VLOOKUP("buildings|PM25|Infant mortality", US_national_yearly!$D:$AM, 35, FALSE) / VLOOKUP("buildings|PM25|Infant mortality", US_national_yearly!$D:$AM, 10, FALSE), 1)</f>
        <v>2.0821393635645333E-5</v>
      </c>
      <c r="AB3" s="7">
        <f>$B3 * IFERROR(VLOOKUP("buildings|PM25|Infant mortality", US_national_yearly!$D:$AM, 36, FALSE) / VLOOKUP("buildings|PM25|Infant mortality", US_national_yearly!$D:$AM, 10, FALSE), 1)</f>
        <v>2.0694545549455399E-5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6.3216721805011158E-2</v>
      </c>
      <c r="C6" s="7">
        <f>$B6 * IFERROR(VLOOKUP("buildings|PM25|Asthma symptoms cough", US_national_yearly!$D:$AM, 11, FALSE) / VLOOKUP("buildings|PM25|Asthma symptoms cough", US_national_yearly!$D:$AM, 10, FALSE), 1)</f>
        <v>6.3216721805011158E-2</v>
      </c>
      <c r="D6" s="7">
        <f>$B6 * IFERROR(VLOOKUP("buildings|PM25|Asthma symptoms cough", US_national_yearly!$D:$AM, 12, FALSE) / VLOOKUP("buildings|PM25|Asthma symptoms cough", US_national_yearly!$D:$AM, 10, FALSE), 1)</f>
        <v>6.3216721805011158E-2</v>
      </c>
      <c r="E6" s="7">
        <f>$B6 * IFERROR(VLOOKUP("buildings|PM25|Asthma symptoms cough", US_national_yearly!$D:$AM, 13, FALSE) / VLOOKUP("buildings|PM25|Asthma symptoms cough", US_national_yearly!$D:$AM, 10, FALSE), 1)</f>
        <v>6.3216721805011158E-2</v>
      </c>
      <c r="F6" s="7">
        <f>$B6 * IFERROR(VLOOKUP("buildings|PM25|Asthma symptoms cough", US_national_yearly!$D:$AM, 14, FALSE) / VLOOKUP("buildings|PM25|Asthma symptoms cough", US_national_yearly!$D:$AM, 10, FALSE), 1)</f>
        <v>6.3216721805011158E-2</v>
      </c>
      <c r="G6" s="7">
        <f>$B6 * IFERROR(VLOOKUP("buildings|PM25|Asthma symptoms cough", US_national_yearly!$D:$AM, 15, FALSE) / VLOOKUP("buildings|PM25|Asthma symptoms cough", US_national_yearly!$D:$AM, 10, FALSE), 1)</f>
        <v>6.3216721805011158E-2</v>
      </c>
      <c r="H6" s="7">
        <f>$B6 * IFERROR(VLOOKUP("buildings|PM25|Asthma symptoms cough", US_national_yearly!$D:$AM, 16, FALSE) / VLOOKUP("buildings|PM25|Asthma symptoms cough", US_national_yearly!$D:$AM, 10, FALSE), 1)</f>
        <v>6.3216721805011158E-2</v>
      </c>
      <c r="I6" s="7">
        <f>$B6 * IFERROR(VLOOKUP("buildings|PM25|Asthma symptoms cough", US_national_yearly!$D:$AM, 17, FALSE) / VLOOKUP("buildings|PM25|Asthma symptoms cough", US_national_yearly!$D:$AM, 10, FALSE), 1)</f>
        <v>6.3216721805011158E-2</v>
      </c>
      <c r="J6" s="7">
        <f>$B6 * IFERROR(VLOOKUP("buildings|PM25|Asthma symptoms cough", US_national_yearly!$D:$AM, 18, FALSE) / VLOOKUP("buildings|PM25|Asthma symptoms cough", US_national_yearly!$D:$AM, 10, FALSE), 1)</f>
        <v>6.3216721805011158E-2</v>
      </c>
      <c r="K6" s="7">
        <f>$B6 * IFERROR(VLOOKUP("buildings|PM25|Asthma symptoms cough", US_national_yearly!$D:$AM, 19, FALSE) / VLOOKUP("buildings|PM25|Asthma symptoms cough", US_national_yearly!$D:$AM, 10, FALSE), 1)</f>
        <v>6.3216721805011158E-2</v>
      </c>
      <c r="L6" s="7">
        <f>$B6 * IFERROR(VLOOKUP("buildings|PM25|Asthma symptoms cough", US_national_yearly!$D:$AM, 20, FALSE) / VLOOKUP("buildings|PM25|Asthma symptoms cough", US_national_yearly!$D:$AM, 10, FALSE), 1)</f>
        <v>6.3216721805011158E-2</v>
      </c>
      <c r="M6" s="7">
        <f>$B6 * IFERROR(VLOOKUP("buildings|PM25|Asthma symptoms cough", US_national_yearly!$D:$AM, 21, FALSE) / VLOOKUP("buildings|PM25|Asthma symptoms cough", US_national_yearly!$D:$AM, 10, FALSE), 1)</f>
        <v>6.3216721805011158E-2</v>
      </c>
      <c r="N6" s="7">
        <f>$B6 * IFERROR(VLOOKUP("buildings|PM25|Asthma symptoms cough", US_national_yearly!$D:$AM, 22, FALSE) / VLOOKUP("buildings|PM25|Asthma symptoms cough", US_national_yearly!$D:$AM, 10, FALSE), 1)</f>
        <v>6.3216721805011158E-2</v>
      </c>
      <c r="O6" s="7">
        <f>$B6 * IFERROR(VLOOKUP("buildings|PM25|Asthma symptoms cough", US_national_yearly!$D:$AM, 23, FALSE) / VLOOKUP("buildings|PM25|Asthma symptoms cough", US_national_yearly!$D:$AM, 10, FALSE), 1)</f>
        <v>6.3216721805011158E-2</v>
      </c>
      <c r="P6" s="7">
        <f>$B6 * IFERROR(VLOOKUP("buildings|PM25|Asthma symptoms cough", US_national_yearly!$D:$AM, 24, FALSE) / VLOOKUP("buildings|PM25|Asthma symptoms cough", US_national_yearly!$D:$AM, 10, FALSE), 1)</f>
        <v>6.3216721805011158E-2</v>
      </c>
      <c r="Q6" s="7">
        <f>$B6 * IFERROR(VLOOKUP("buildings|PM25|Asthma symptoms cough", US_national_yearly!$D:$AM, 25, FALSE) / VLOOKUP("buildings|PM25|Asthma symptoms cough", US_national_yearly!$D:$AM, 10, FALSE), 1)</f>
        <v>6.3216721805011158E-2</v>
      </c>
      <c r="R6" s="7">
        <f>$B6 * IFERROR(VLOOKUP("buildings|PM25|Asthma symptoms cough", US_national_yearly!$D:$AM, 26, FALSE) / VLOOKUP("buildings|PM25|Asthma symptoms cough", US_national_yearly!$D:$AM, 10, FALSE), 1)</f>
        <v>6.3216721805011158E-2</v>
      </c>
      <c r="S6" s="7">
        <f>$B6 * IFERROR(VLOOKUP("buildings|PM25|Asthma symptoms cough", US_national_yearly!$D:$AM, 27, FALSE) / VLOOKUP("buildings|PM25|Asthma symptoms cough", US_national_yearly!$D:$AM, 10, FALSE), 1)</f>
        <v>6.3216721805011158E-2</v>
      </c>
      <c r="T6" s="7">
        <f>$B6 * IFERROR(VLOOKUP("buildings|PM25|Asthma symptoms cough", US_national_yearly!$D:$AM, 28, FALSE) / VLOOKUP("buildings|PM25|Asthma symptoms cough", US_national_yearly!$D:$AM, 10, FALSE), 1)</f>
        <v>6.3216721805011158E-2</v>
      </c>
      <c r="U6" s="7">
        <f>$B6 * IFERROR(VLOOKUP("buildings|PM25|Asthma symptoms cough", US_national_yearly!$D:$AM, 29, FALSE) / VLOOKUP("buildings|PM25|Asthma symptoms cough", US_national_yearly!$D:$AM, 10, FALSE), 1)</f>
        <v>6.3216721805011158E-2</v>
      </c>
      <c r="V6" s="7">
        <f>$B6 * IFERROR(VLOOKUP("buildings|PM25|Asthma symptoms cough", US_national_yearly!$D:$AM, 30, FALSE) / VLOOKUP("buildings|PM25|Asthma symptoms cough", US_national_yearly!$D:$AM, 10, FALSE), 1)</f>
        <v>6.3216721805011158E-2</v>
      </c>
      <c r="W6" s="7">
        <f>$B6 * IFERROR(VLOOKUP("buildings|PM25|Asthma symptoms cough", US_national_yearly!$D:$AM, 31, FALSE) / VLOOKUP("buildings|PM25|Asthma symptoms cough", US_national_yearly!$D:$AM, 10, FALSE), 1)</f>
        <v>6.3216721805011158E-2</v>
      </c>
      <c r="X6" s="7">
        <f>$B6 * IFERROR(VLOOKUP("buildings|PM25|Asthma symptoms cough", US_national_yearly!$D:$AM, 32, FALSE) / VLOOKUP("buildings|PM25|Asthma symptoms cough", US_national_yearly!$D:$AM, 10, FALSE), 1)</f>
        <v>6.3216721805011158E-2</v>
      </c>
      <c r="Y6" s="7">
        <f>$B6 * IFERROR(VLOOKUP("buildings|PM25|Asthma symptoms cough", US_national_yearly!$D:$AM, 33, FALSE) / VLOOKUP("buildings|PM25|Asthma symptoms cough", US_national_yearly!$D:$AM, 10, FALSE), 1)</f>
        <v>6.3216721805011158E-2</v>
      </c>
      <c r="Z6" s="7">
        <f>$B6 * IFERROR(VLOOKUP("buildings|PM25|Asthma symptoms cough", US_national_yearly!$D:$AM, 34, FALSE) / VLOOKUP("buildings|PM25|Asthma symptoms cough", US_national_yearly!$D:$AM, 10, FALSE), 1)</f>
        <v>6.3216721805011158E-2</v>
      </c>
      <c r="AA6" s="7">
        <f>$B6 * IFERROR(VLOOKUP("buildings|PM25|Asthma symptoms cough", US_national_yearly!$D:$AM, 35, FALSE) / VLOOKUP("buildings|PM25|Asthma symptoms cough", US_national_yearly!$D:$AM, 10, FALSE), 1)</f>
        <v>6.3216721805011158E-2</v>
      </c>
      <c r="AB6" s="7">
        <f>$B6 * IFERROR(VLOOKUP("buildings|PM25|Asthma symptoms cough", US_national_yearly!$D:$AM, 36, FALSE) / VLOOKUP("buildings|PM25|Asthma symptoms cough", US_national_yearly!$D:$AM, 10, FALSE), 1)</f>
        <v>6.3216721805011158E-2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8.5130545047595776E-2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8.5130545047595776E-2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8.5130545047595776E-2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8.5130545047595776E-2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8.5130545047595776E-2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8.5130545047595776E-2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8.5130545047595776E-2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8.5130545047595776E-2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8.5130545047595776E-2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8.5130545047595776E-2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8.5130545047595776E-2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8.5130545047595776E-2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8.5130545047595776E-2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8.5130545047595776E-2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8.5130545047595776E-2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8.5130545047595776E-2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8.5130545047595776E-2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8.5130545047595776E-2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8.5130545047595776E-2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8.5130545047595776E-2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8.5130545047595776E-2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8.5130545047595776E-2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8.5130545047595776E-2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8.5130545047595776E-2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8.5130545047595776E-2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8.5130545047595776E-2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8.5130545047595776E-2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0.13006484523464182</v>
      </c>
      <c r="C8" s="7">
        <f>$B8 * IFERROR(VLOOKUP("buildings|PM25|Asthma symptoms wheeze", US_national_yearly!$D:$AM, 11, FALSE) / VLOOKUP("buildings|PM25|Asthma symptoms wheeze", US_national_yearly!$D:$AM, 10, FALSE), 1)</f>
        <v>0.13006484523464182</v>
      </c>
      <c r="D8" s="7">
        <f>$B8 * IFERROR(VLOOKUP("buildings|PM25|Asthma symptoms wheeze", US_national_yearly!$D:$AM, 12, FALSE) / VLOOKUP("buildings|PM25|Asthma symptoms wheeze", US_national_yearly!$D:$AM, 10, FALSE), 1)</f>
        <v>0.13006484523464182</v>
      </c>
      <c r="E8" s="7">
        <f>$B8 * IFERROR(VLOOKUP("buildings|PM25|Asthma symptoms wheeze", US_national_yearly!$D:$AM, 13, FALSE) / VLOOKUP("buildings|PM25|Asthma symptoms wheeze", US_national_yearly!$D:$AM, 10, FALSE), 1)</f>
        <v>0.13006484523464182</v>
      </c>
      <c r="F8" s="7">
        <f>$B8 * IFERROR(VLOOKUP("buildings|PM25|Asthma symptoms wheeze", US_national_yearly!$D:$AM, 14, FALSE) / VLOOKUP("buildings|PM25|Asthma symptoms wheeze", US_national_yearly!$D:$AM, 10, FALSE), 1)</f>
        <v>0.13006484523464182</v>
      </c>
      <c r="G8" s="7">
        <f>$B8 * IFERROR(VLOOKUP("buildings|PM25|Asthma symptoms wheeze", US_national_yearly!$D:$AM, 15, FALSE) / VLOOKUP("buildings|PM25|Asthma symptoms wheeze", US_national_yearly!$D:$AM, 10, FALSE), 1)</f>
        <v>0.13006484523464182</v>
      </c>
      <c r="H8" s="7">
        <f>$B8 * IFERROR(VLOOKUP("buildings|PM25|Asthma symptoms wheeze", US_national_yearly!$D:$AM, 16, FALSE) / VLOOKUP("buildings|PM25|Asthma symptoms wheeze", US_national_yearly!$D:$AM, 10, FALSE), 1)</f>
        <v>0.13006484523464182</v>
      </c>
      <c r="I8" s="7">
        <f>$B8 * IFERROR(VLOOKUP("buildings|PM25|Asthma symptoms wheeze", US_national_yearly!$D:$AM, 17, FALSE) / VLOOKUP("buildings|PM25|Asthma symptoms wheeze", US_national_yearly!$D:$AM, 10, FALSE), 1)</f>
        <v>0.13006484523464182</v>
      </c>
      <c r="J8" s="7">
        <f>$B8 * IFERROR(VLOOKUP("buildings|PM25|Asthma symptoms wheeze", US_national_yearly!$D:$AM, 18, FALSE) / VLOOKUP("buildings|PM25|Asthma symptoms wheeze", US_national_yearly!$D:$AM, 10, FALSE), 1)</f>
        <v>0.13006484523464182</v>
      </c>
      <c r="K8" s="7">
        <f>$B8 * IFERROR(VLOOKUP("buildings|PM25|Asthma symptoms wheeze", US_national_yearly!$D:$AM, 19, FALSE) / VLOOKUP("buildings|PM25|Asthma symptoms wheeze", US_national_yearly!$D:$AM, 10, FALSE), 1)</f>
        <v>0.13006484523464182</v>
      </c>
      <c r="L8" s="7">
        <f>$B8 * IFERROR(VLOOKUP("buildings|PM25|Asthma symptoms wheeze", US_national_yearly!$D:$AM, 20, FALSE) / VLOOKUP("buildings|PM25|Asthma symptoms wheeze", US_national_yearly!$D:$AM, 10, FALSE), 1)</f>
        <v>0.13006484523464182</v>
      </c>
      <c r="M8" s="7">
        <f>$B8 * IFERROR(VLOOKUP("buildings|PM25|Asthma symptoms wheeze", US_national_yearly!$D:$AM, 21, FALSE) / VLOOKUP("buildings|PM25|Asthma symptoms wheeze", US_national_yearly!$D:$AM, 10, FALSE), 1)</f>
        <v>0.13006484523464182</v>
      </c>
      <c r="N8" s="7">
        <f>$B8 * IFERROR(VLOOKUP("buildings|PM25|Asthma symptoms wheeze", US_national_yearly!$D:$AM, 22, FALSE) / VLOOKUP("buildings|PM25|Asthma symptoms wheeze", US_national_yearly!$D:$AM, 10, FALSE), 1)</f>
        <v>0.13006484523464182</v>
      </c>
      <c r="O8" s="7">
        <f>$B8 * IFERROR(VLOOKUP("buildings|PM25|Asthma symptoms wheeze", US_national_yearly!$D:$AM, 23, FALSE) / VLOOKUP("buildings|PM25|Asthma symptoms wheeze", US_national_yearly!$D:$AM, 10, FALSE), 1)</f>
        <v>0.13006484523464182</v>
      </c>
      <c r="P8" s="7">
        <f>$B8 * IFERROR(VLOOKUP("buildings|PM25|Asthma symptoms wheeze", US_national_yearly!$D:$AM, 24, FALSE) / VLOOKUP("buildings|PM25|Asthma symptoms wheeze", US_national_yearly!$D:$AM, 10, FALSE), 1)</f>
        <v>0.13006484523464182</v>
      </c>
      <c r="Q8" s="7">
        <f>$B8 * IFERROR(VLOOKUP("buildings|PM25|Asthma symptoms wheeze", US_national_yearly!$D:$AM, 25, FALSE) / VLOOKUP("buildings|PM25|Asthma symptoms wheeze", US_national_yearly!$D:$AM, 10, FALSE), 1)</f>
        <v>0.13006484523464182</v>
      </c>
      <c r="R8" s="7">
        <f>$B8 * IFERROR(VLOOKUP("buildings|PM25|Asthma symptoms wheeze", US_national_yearly!$D:$AM, 26, FALSE) / VLOOKUP("buildings|PM25|Asthma symptoms wheeze", US_national_yearly!$D:$AM, 10, FALSE), 1)</f>
        <v>0.13006484523464182</v>
      </c>
      <c r="S8" s="7">
        <f>$B8 * IFERROR(VLOOKUP("buildings|PM25|Asthma symptoms wheeze", US_national_yearly!$D:$AM, 27, FALSE) / VLOOKUP("buildings|PM25|Asthma symptoms wheeze", US_national_yearly!$D:$AM, 10, FALSE), 1)</f>
        <v>0.13006484523464182</v>
      </c>
      <c r="T8" s="7">
        <f>$B8 * IFERROR(VLOOKUP("buildings|PM25|Asthma symptoms wheeze", US_national_yearly!$D:$AM, 28, FALSE) / VLOOKUP("buildings|PM25|Asthma symptoms wheeze", US_national_yearly!$D:$AM, 10, FALSE), 1)</f>
        <v>0.13006484523464182</v>
      </c>
      <c r="U8" s="7">
        <f>$B8 * IFERROR(VLOOKUP("buildings|PM25|Asthma symptoms wheeze", US_national_yearly!$D:$AM, 29, FALSE) / VLOOKUP("buildings|PM25|Asthma symptoms wheeze", US_national_yearly!$D:$AM, 10, FALSE), 1)</f>
        <v>0.13006484523464182</v>
      </c>
      <c r="V8" s="7">
        <f>$B8 * IFERROR(VLOOKUP("buildings|PM25|Asthma symptoms wheeze", US_national_yearly!$D:$AM, 30, FALSE) / VLOOKUP("buildings|PM25|Asthma symptoms wheeze", US_national_yearly!$D:$AM, 10, FALSE), 1)</f>
        <v>0.13006484523464182</v>
      </c>
      <c r="W8" s="7">
        <f>$B8 * IFERROR(VLOOKUP("buildings|PM25|Asthma symptoms wheeze", US_national_yearly!$D:$AM, 31, FALSE) / VLOOKUP("buildings|PM25|Asthma symptoms wheeze", US_national_yearly!$D:$AM, 10, FALSE), 1)</f>
        <v>0.13006484523464182</v>
      </c>
      <c r="X8" s="7">
        <f>$B8 * IFERROR(VLOOKUP("buildings|PM25|Asthma symptoms wheeze", US_national_yearly!$D:$AM, 32, FALSE) / VLOOKUP("buildings|PM25|Asthma symptoms wheeze", US_national_yearly!$D:$AM, 10, FALSE), 1)</f>
        <v>0.13006484523464182</v>
      </c>
      <c r="Y8" s="7">
        <f>$B8 * IFERROR(VLOOKUP("buildings|PM25|Asthma symptoms wheeze", US_national_yearly!$D:$AM, 33, FALSE) / VLOOKUP("buildings|PM25|Asthma symptoms wheeze", US_national_yearly!$D:$AM, 10, FALSE), 1)</f>
        <v>0.13006484523464182</v>
      </c>
      <c r="Z8" s="7">
        <f>$B8 * IFERROR(VLOOKUP("buildings|PM25|Asthma symptoms wheeze", US_national_yearly!$D:$AM, 34, FALSE) / VLOOKUP("buildings|PM25|Asthma symptoms wheeze", US_national_yearly!$D:$AM, 10, FALSE), 1)</f>
        <v>0.13006484523464182</v>
      </c>
      <c r="AA8" s="7">
        <f>$B8 * IFERROR(VLOOKUP("buildings|PM25|Asthma symptoms wheeze", US_national_yearly!$D:$AM, 35, FALSE) / VLOOKUP("buildings|PM25|Asthma symptoms wheeze", US_national_yearly!$D:$AM, 10, FALSE), 1)</f>
        <v>0.13006484523464182</v>
      </c>
      <c r="AB8" s="7">
        <f>$B8 * IFERROR(VLOOKUP("buildings|PM25|Asthma symptoms wheeze", US_national_yearly!$D:$AM, 36, FALSE) / VLOOKUP("buildings|PM25|Asthma symptoms wheeze", US_national_yearly!$D:$AM, 10, FALSE), 1)</f>
        <v>0.13006484523464182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1.6703788941516229E-3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1.6800072358269045E-3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1.6896355775021866E-3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1.6992639191774686E-3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1.7088922608527507E-3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1.7192821335701633E-3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1.7296720062875757E-3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1.7395537147801275E-3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1.749435423272679E-3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1.7593171317652303E-3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1.769198840257782E-3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1.7790805487503333E-3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1.7861881740633162E-3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1.7932957993762992E-3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1.8004034246892819E-3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1.8075110500022644E-3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1.8146186753152473E-3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1.8213906281683736E-3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1.8281625810215006E-3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1.8349345338746269E-3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1.8417064867277532E-3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1.8484784395808801E-3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1.8550190725608378E-3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1.8615597055407958E-3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1.8681003385207535E-3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1.8746409715007114E-3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1.8811816044806691E-3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1.0623469813487871E-2</v>
      </c>
      <c r="C13" s="7">
        <f>$B13 * IFERROR(VLOOKUP("buildings|PM25|Non-fatal heart attacks", US_national_yearly!$D:$AM, 11, FALSE) / VLOOKUP("buildings|PM25|Non-fatal heart attacks", US_national_yearly!$D:$AM, 10, FALSE), 1)</f>
        <v>1.0932468465520808E-2</v>
      </c>
      <c r="D13" s="7">
        <f>$B13 * IFERROR(VLOOKUP("buildings|PM25|Non-fatal heart attacks", US_national_yearly!$D:$AM, 12, FALSE) / VLOOKUP("buildings|PM25|Non-fatal heart attacks", US_national_yearly!$D:$AM, 10, FALSE), 1)</f>
        <v>1.1241467117553744E-2</v>
      </c>
      <c r="E13" s="7">
        <f>$B13 * IFERROR(VLOOKUP("buildings|PM25|Non-fatal heart attacks", US_national_yearly!$D:$AM, 13, FALSE) / VLOOKUP("buildings|PM25|Non-fatal heart attacks", US_national_yearly!$D:$AM, 10, FALSE), 1)</f>
        <v>1.155046576958668E-2</v>
      </c>
      <c r="F13" s="7">
        <f>$B13 * IFERROR(VLOOKUP("buildings|PM25|Non-fatal heart attacks", US_national_yearly!$D:$AM, 14, FALSE) / VLOOKUP("buildings|PM25|Non-fatal heart attacks", US_national_yearly!$D:$AM, 10, FALSE), 1)</f>
        <v>1.1859464421619618E-2</v>
      </c>
      <c r="G13" s="7">
        <f>$B13 * IFERROR(VLOOKUP("buildings|PM25|Non-fatal heart attacks", US_national_yearly!$D:$AM, 15, FALSE) / VLOOKUP("buildings|PM25|Non-fatal heart attacks", US_national_yearly!$D:$AM, 10, FALSE), 1)</f>
        <v>1.2151022298322623E-2</v>
      </c>
      <c r="H13" s="7">
        <f>$B13 * IFERROR(VLOOKUP("buildings|PM25|Non-fatal heart attacks", US_national_yearly!$D:$AM, 16, FALSE) / VLOOKUP("buildings|PM25|Non-fatal heart attacks", US_national_yearly!$D:$AM, 10, FALSE), 1)</f>
        <v>1.2442580175025622E-2</v>
      </c>
      <c r="I13" s="7">
        <f>$B13 * IFERROR(VLOOKUP("buildings|PM25|Non-fatal heart attacks", US_national_yearly!$D:$AM, 17, FALSE) / VLOOKUP("buildings|PM25|Non-fatal heart attacks", US_national_yearly!$D:$AM, 10, FALSE), 1)</f>
        <v>1.2677161131795725E-2</v>
      </c>
      <c r="J13" s="7">
        <f>$B13 * IFERROR(VLOOKUP("buildings|PM25|Non-fatal heart attacks", US_national_yearly!$D:$AM, 18, FALSE) / VLOOKUP("buildings|PM25|Non-fatal heart attacks", US_national_yearly!$D:$AM, 10, FALSE), 1)</f>
        <v>1.2911742088565827E-2</v>
      </c>
      <c r="K13" s="7">
        <f>$B13 * IFERROR(VLOOKUP("buildings|PM25|Non-fatal heart attacks", US_national_yearly!$D:$AM, 19, FALSE) / VLOOKUP("buildings|PM25|Non-fatal heart attacks", US_national_yearly!$D:$AM, 10, FALSE), 1)</f>
        <v>1.3146323045335926E-2</v>
      </c>
      <c r="L13" s="7">
        <f>$B13 * IFERROR(VLOOKUP("buildings|PM25|Non-fatal heart attacks", US_national_yearly!$D:$AM, 20, FALSE) / VLOOKUP("buildings|PM25|Non-fatal heart attacks", US_national_yearly!$D:$AM, 10, FALSE), 1)</f>
        <v>1.3380904002106024E-2</v>
      </c>
      <c r="M13" s="7">
        <f>$B13 * IFERROR(VLOOKUP("buildings|PM25|Non-fatal heart attacks", US_national_yearly!$D:$AM, 21, FALSE) / VLOOKUP("buildings|PM25|Non-fatal heart attacks", US_national_yearly!$D:$AM, 10, FALSE), 1)</f>
        <v>1.3615484958876125E-2</v>
      </c>
      <c r="N13" s="7">
        <f>$B13 * IFERROR(VLOOKUP("buildings|PM25|Non-fatal heart attacks", US_national_yearly!$D:$AM, 22, FALSE) / VLOOKUP("buildings|PM25|Non-fatal heart attacks", US_national_yearly!$D:$AM, 10, FALSE), 1)</f>
        <v>1.3767027921873324E-2</v>
      </c>
      <c r="O13" s="7">
        <f>$B13 * IFERROR(VLOOKUP("buildings|PM25|Non-fatal heart attacks", US_national_yearly!$D:$AM, 23, FALSE) / VLOOKUP("buildings|PM25|Non-fatal heart attacks", US_national_yearly!$D:$AM, 10, FALSE), 1)</f>
        <v>1.3918570884870521E-2</v>
      </c>
      <c r="P13" s="7">
        <f>$B13 * IFERROR(VLOOKUP("buildings|PM25|Non-fatal heart attacks", US_national_yearly!$D:$AM, 24, FALSE) / VLOOKUP("buildings|PM25|Non-fatal heart attacks", US_national_yearly!$D:$AM, 10, FALSE), 1)</f>
        <v>1.4070113847867717E-2</v>
      </c>
      <c r="Q13" s="7">
        <f>$B13 * IFERROR(VLOOKUP("buildings|PM25|Non-fatal heart attacks", US_national_yearly!$D:$AM, 25, FALSE) / VLOOKUP("buildings|PM25|Non-fatal heart attacks", US_national_yearly!$D:$AM, 10, FALSE), 1)</f>
        <v>1.4221656810864916E-2</v>
      </c>
      <c r="R13" s="7">
        <f>$B13 * IFERROR(VLOOKUP("buildings|PM25|Non-fatal heart attacks", US_national_yearly!$D:$AM, 26, FALSE) / VLOOKUP("buildings|PM25|Non-fatal heart attacks", US_national_yearly!$D:$AM, 10, FALSE), 1)</f>
        <v>1.4373199773862113E-2</v>
      </c>
      <c r="S13" s="7">
        <f>$B13 * IFERROR(VLOOKUP("buildings|PM25|Non-fatal heart attacks", US_national_yearly!$D:$AM, 27, FALSE) / VLOOKUP("buildings|PM25|Non-fatal heart attacks", US_national_yearly!$D:$AM, 10, FALSE), 1)</f>
        <v>1.4453352292997462E-2</v>
      </c>
      <c r="T13" s="7">
        <f>$B13 * IFERROR(VLOOKUP("buildings|PM25|Non-fatal heart attacks", US_national_yearly!$D:$AM, 28, FALSE) / VLOOKUP("buildings|PM25|Non-fatal heart attacks", US_national_yearly!$D:$AM, 10, FALSE), 1)</f>
        <v>1.4533504812132813E-2</v>
      </c>
      <c r="U13" s="7">
        <f>$B13 * IFERROR(VLOOKUP("buildings|PM25|Non-fatal heart attacks", US_national_yearly!$D:$AM, 29, FALSE) / VLOOKUP("buildings|PM25|Non-fatal heart attacks", US_national_yearly!$D:$AM, 10, FALSE), 1)</f>
        <v>1.4613657331268164E-2</v>
      </c>
      <c r="V13" s="7">
        <f>$B13 * IFERROR(VLOOKUP("buildings|PM25|Non-fatal heart attacks", US_national_yearly!$D:$AM, 30, FALSE) / VLOOKUP("buildings|PM25|Non-fatal heart attacks", US_national_yearly!$D:$AM, 10, FALSE), 1)</f>
        <v>1.4693809850403512E-2</v>
      </c>
      <c r="W13" s="7">
        <f>$B13 * IFERROR(VLOOKUP("buildings|PM25|Non-fatal heart attacks", US_national_yearly!$D:$AM, 31, FALSE) / VLOOKUP("buildings|PM25|Non-fatal heart attacks", US_national_yearly!$D:$AM, 10, FALSE), 1)</f>
        <v>1.4773962369538863E-2</v>
      </c>
      <c r="X13" s="7">
        <f>$B13 * IFERROR(VLOOKUP("buildings|PM25|Non-fatal heart attacks", US_national_yearly!$D:$AM, 32, FALSE) / VLOOKUP("buildings|PM25|Non-fatal heart attacks", US_national_yearly!$D:$AM, 10, FALSE), 1)</f>
        <v>1.4834964290806427E-2</v>
      </c>
      <c r="Y13" s="7">
        <f>$B13 * IFERROR(VLOOKUP("buildings|PM25|Non-fatal heart attacks", US_national_yearly!$D:$AM, 33, FALSE) / VLOOKUP("buildings|PM25|Non-fatal heart attacks", US_national_yearly!$D:$AM, 10, FALSE), 1)</f>
        <v>1.489596621207399E-2</v>
      </c>
      <c r="Z13" s="7">
        <f>$B13 * IFERROR(VLOOKUP("buildings|PM25|Non-fatal heart attacks", US_national_yearly!$D:$AM, 34, FALSE) / VLOOKUP("buildings|PM25|Non-fatal heart attacks", US_national_yearly!$D:$AM, 10, FALSE), 1)</f>
        <v>1.4956968133341552E-2</v>
      </c>
      <c r="AA13" s="7">
        <f>$B13 * IFERROR(VLOOKUP("buildings|PM25|Non-fatal heart attacks", US_national_yearly!$D:$AM, 35, FALSE) / VLOOKUP("buildings|PM25|Non-fatal heart attacks", US_national_yearly!$D:$AM, 10, FALSE), 1)</f>
        <v>1.5017970054609116E-2</v>
      </c>
      <c r="AB13" s="7">
        <f>$B13 * IFERROR(VLOOKUP("buildings|PM25|Non-fatal heart attacks", US_national_yearly!$D:$AM, 36, FALSE) / VLOOKUP("buildings|PM25|Non-fatal heart attacks", US_national_yearly!$D:$AM, 10, FALSE), 1)</f>
        <v>1.5078971975876682E-2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7.9880078185441903</v>
      </c>
      <c r="C14" s="7">
        <f>$B14 * IFERROR(VLOOKUP("buildings|PM25|Minor restricted activity days", US_national_yearly!$D:$AM, 11, FALSE) / VLOOKUP("buildings|PM25|Minor restricted activity days", US_national_yearly!$D:$AM, 10, FALSE), 1)</f>
        <v>8.0078744418162486</v>
      </c>
      <c r="D14" s="7">
        <f>$B14 * IFERROR(VLOOKUP("buildings|PM25|Minor restricted activity days", US_national_yearly!$D:$AM, 12, FALSE) / VLOOKUP("buildings|PM25|Minor restricted activity days", US_national_yearly!$D:$AM, 10, FALSE), 1)</f>
        <v>8.0277410650883088</v>
      </c>
      <c r="E14" s="7">
        <f>$B14 * IFERROR(VLOOKUP("buildings|PM25|Minor restricted activity days", US_national_yearly!$D:$AM, 13, FALSE) / VLOOKUP("buildings|PM25|Minor restricted activity days", US_national_yearly!$D:$AM, 10, FALSE), 1)</f>
        <v>8.0476076883603671</v>
      </c>
      <c r="F14" s="7">
        <f>$B14 * IFERROR(VLOOKUP("buildings|PM25|Minor restricted activity days", US_national_yearly!$D:$AM, 14, FALSE) / VLOOKUP("buildings|PM25|Minor restricted activity days", US_national_yearly!$D:$AM, 10, FALSE), 1)</f>
        <v>8.0674743116324255</v>
      </c>
      <c r="G14" s="7">
        <f>$B14 * IFERROR(VLOOKUP("buildings|PM25|Minor restricted activity days", US_national_yearly!$D:$AM, 15, FALSE) / VLOOKUP("buildings|PM25|Minor restricted activity days", US_national_yearly!$D:$AM, 10, FALSE), 1)</f>
        <v>8.0966126160343848</v>
      </c>
      <c r="H14" s="7">
        <f>$B14 * IFERROR(VLOOKUP("buildings|PM25|Minor restricted activity days", US_national_yearly!$D:$AM, 16, FALSE) / VLOOKUP("buildings|PM25|Minor restricted activity days", US_national_yearly!$D:$AM, 10, FALSE), 1)</f>
        <v>8.1257509204363423</v>
      </c>
      <c r="I14" s="7">
        <f>$B14 * IFERROR(VLOOKUP("buildings|PM25|Minor restricted activity days", US_national_yearly!$D:$AM, 17, FALSE) / VLOOKUP("buildings|PM25|Minor restricted activity days", US_national_yearly!$D:$AM, 10, FALSE), 1)</f>
        <v>8.1752991181385379</v>
      </c>
      <c r="J14" s="7">
        <f>$B14 * IFERROR(VLOOKUP("buildings|PM25|Minor restricted activity days", US_national_yearly!$D:$AM, 18, FALSE) / VLOOKUP("buildings|PM25|Minor restricted activity days", US_national_yearly!$D:$AM, 10, FALSE), 1)</f>
        <v>8.2248473158407371</v>
      </c>
      <c r="K14" s="7">
        <f>$B14 * IFERROR(VLOOKUP("buildings|PM25|Minor restricted activity days", US_national_yearly!$D:$AM, 19, FALSE) / VLOOKUP("buildings|PM25|Minor restricted activity days", US_national_yearly!$D:$AM, 10, FALSE), 1)</f>
        <v>8.2743955135429292</v>
      </c>
      <c r="L14" s="7">
        <f>$B14 * IFERROR(VLOOKUP("buildings|PM25|Minor restricted activity days", US_national_yearly!$D:$AM, 20, FALSE) / VLOOKUP("buildings|PM25|Minor restricted activity days", US_national_yearly!$D:$AM, 10, FALSE), 1)</f>
        <v>8.3239437112451231</v>
      </c>
      <c r="M14" s="7">
        <f>$B14 * IFERROR(VLOOKUP("buildings|PM25|Minor restricted activity days", US_national_yearly!$D:$AM, 21, FALSE) / VLOOKUP("buildings|PM25|Minor restricted activity days", US_national_yearly!$D:$AM, 10, FALSE), 1)</f>
        <v>8.373491908947317</v>
      </c>
      <c r="N14" s="7">
        <f>$B14 * IFERROR(VLOOKUP("buildings|PM25|Minor restricted activity days", US_national_yearly!$D:$AM, 22, FALSE) / VLOOKUP("buildings|PM25|Minor restricted activity days", US_national_yearly!$D:$AM, 10, FALSE), 1)</f>
        <v>8.4408159554433393</v>
      </c>
      <c r="O14" s="7">
        <f>$B14 * IFERROR(VLOOKUP("buildings|PM25|Minor restricted activity days", US_national_yearly!$D:$AM, 23, FALSE) / VLOOKUP("buildings|PM25|Minor restricted activity days", US_national_yearly!$D:$AM, 10, FALSE), 1)</f>
        <v>8.508140001939358</v>
      </c>
      <c r="P14" s="7">
        <f>$B14 * IFERROR(VLOOKUP("buildings|PM25|Minor restricted activity days", US_national_yearly!$D:$AM, 24, FALSE) / VLOOKUP("buildings|PM25|Minor restricted activity days", US_national_yearly!$D:$AM, 10, FALSE), 1)</f>
        <v>8.5754640484353786</v>
      </c>
      <c r="Q14" s="7">
        <f>$B14 * IFERROR(VLOOKUP("buildings|PM25|Minor restricted activity days", US_national_yearly!$D:$AM, 25, FALSE) / VLOOKUP("buildings|PM25|Minor restricted activity days", US_national_yearly!$D:$AM, 10, FALSE), 1)</f>
        <v>8.6427880949313973</v>
      </c>
      <c r="R14" s="7">
        <f>$B14 * IFERROR(VLOOKUP("buildings|PM25|Minor restricted activity days", US_national_yearly!$D:$AM, 26, FALSE) / VLOOKUP("buildings|PM25|Minor restricted activity days", US_national_yearly!$D:$AM, 10, FALSE), 1)</f>
        <v>8.7101121414274161</v>
      </c>
      <c r="S14" s="7">
        <f>$B14 * IFERROR(VLOOKUP("buildings|PM25|Minor restricted activity days", US_national_yearly!$D:$AM, 27, FALSE) / VLOOKUP("buildings|PM25|Minor restricted activity days", US_national_yearly!$D:$AM, 10, FALSE), 1)</f>
        <v>8.7778533986814793</v>
      </c>
      <c r="T14" s="7">
        <f>$B14 * IFERROR(VLOOKUP("buildings|PM25|Minor restricted activity days", US_national_yearly!$D:$AM, 28, FALSE) / VLOOKUP("buildings|PM25|Minor restricted activity days", US_national_yearly!$D:$AM, 10, FALSE), 1)</f>
        <v>8.8455946559355407</v>
      </c>
      <c r="U14" s="7">
        <f>$B14 * IFERROR(VLOOKUP("buildings|PM25|Minor restricted activity days", US_national_yearly!$D:$AM, 29, FALSE) / VLOOKUP("buildings|PM25|Minor restricted activity days", US_national_yearly!$D:$AM, 10, FALSE), 1)</f>
        <v>8.9133359131896057</v>
      </c>
      <c r="V14" s="7">
        <f>$B14 * IFERROR(VLOOKUP("buildings|PM25|Minor restricted activity days", US_national_yearly!$D:$AM, 30, FALSE) / VLOOKUP("buildings|PM25|Minor restricted activity days", US_national_yearly!$D:$AM, 10, FALSE), 1)</f>
        <v>8.9810771704436672</v>
      </c>
      <c r="W14" s="7">
        <f>$B14 * IFERROR(VLOOKUP("buildings|PM25|Minor restricted activity days", US_national_yearly!$D:$AM, 31, FALSE) / VLOOKUP("buildings|PM25|Minor restricted activity days", US_national_yearly!$D:$AM, 10, FALSE), 1)</f>
        <v>9.0488184276977304</v>
      </c>
      <c r="X14" s="7">
        <f>$B14 * IFERROR(VLOOKUP("buildings|PM25|Minor restricted activity days", US_national_yearly!$D:$AM, 32, FALSE) / VLOOKUP("buildings|PM25|Minor restricted activity days", US_national_yearly!$D:$AM, 10, FALSE), 1)</f>
        <v>9.1076385400693951</v>
      </c>
      <c r="Y14" s="7">
        <f>$B14 * IFERROR(VLOOKUP("buildings|PM25|Minor restricted activity days", US_national_yearly!$D:$AM, 33, FALSE) / VLOOKUP("buildings|PM25|Minor restricted activity days", US_national_yearly!$D:$AM, 10, FALSE), 1)</f>
        <v>9.1664586524410581</v>
      </c>
      <c r="Z14" s="7">
        <f>$B14 * IFERROR(VLOOKUP("buildings|PM25|Minor restricted activity days", US_national_yearly!$D:$AM, 34, FALSE) / VLOOKUP("buildings|PM25|Minor restricted activity days", US_national_yearly!$D:$AM, 10, FALSE), 1)</f>
        <v>9.2252787648127192</v>
      </c>
      <c r="AA14" s="7">
        <f>$B14 * IFERROR(VLOOKUP("buildings|PM25|Minor restricted activity days", US_national_yearly!$D:$AM, 35, FALSE) / VLOOKUP("buildings|PM25|Minor restricted activity days", US_national_yearly!$D:$AM, 10, FALSE), 1)</f>
        <v>9.284098877184384</v>
      </c>
      <c r="AB14" s="7">
        <f>$B14 * IFERROR(VLOOKUP("buildings|PM25|Minor restricted activity days", US_national_yearly!$D:$AM, 36, FALSE) / VLOOKUP("buildings|PM25|Minor restricted activity days", US_national_yearly!$D:$AM, 10, FALSE), 1)</f>
        <v>9.3429189895560469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1.3511609949624839</v>
      </c>
      <c r="C15" s="7">
        <f>$B15 * IFERROR(VLOOKUP("buildings|PM25|Work loss days", US_national_yearly!$D:$AM, 11, FALSE) / VLOOKUP("buildings|PM25|Work loss days", US_national_yearly!$D:$AM, 10, FALSE), 1)</f>
        <v>1.3554012295562168</v>
      </c>
      <c r="D15" s="7">
        <f>$B15 * IFERROR(VLOOKUP("buildings|PM25|Work loss days", US_national_yearly!$D:$AM, 12, FALSE) / VLOOKUP("buildings|PM25|Work loss days", US_national_yearly!$D:$AM, 10, FALSE), 1)</f>
        <v>1.3596414641499492</v>
      </c>
      <c r="E15" s="7">
        <f>$B15 * IFERROR(VLOOKUP("buildings|PM25|Work loss days", US_national_yearly!$D:$AM, 13, FALSE) / VLOOKUP("buildings|PM25|Work loss days", US_national_yearly!$D:$AM, 10, FALSE), 1)</f>
        <v>1.3638816987436819</v>
      </c>
      <c r="F15" s="7">
        <f>$B15 * IFERROR(VLOOKUP("buildings|PM25|Work loss days", US_national_yearly!$D:$AM, 14, FALSE) / VLOOKUP("buildings|PM25|Work loss days", US_national_yearly!$D:$AM, 10, FALSE), 1)</f>
        <v>1.3681219333374146</v>
      </c>
      <c r="G15" s="7">
        <f>$B15 * IFERROR(VLOOKUP("buildings|PM25|Work loss days", US_national_yearly!$D:$AM, 15, FALSE) / VLOOKUP("buildings|PM25|Work loss days", US_national_yearly!$D:$AM, 10, FALSE), 1)</f>
        <v>1.3736642999363895</v>
      </c>
      <c r="H15" s="7">
        <f>$B15 * IFERROR(VLOOKUP("buildings|PM25|Work loss days", US_national_yearly!$D:$AM, 16, FALSE) / VLOOKUP("buildings|PM25|Work loss days", US_national_yearly!$D:$AM, 10, FALSE), 1)</f>
        <v>1.3792066665353644</v>
      </c>
      <c r="I15" s="7">
        <f>$B15 * IFERROR(VLOOKUP("buildings|PM25|Work loss days", US_national_yearly!$D:$AM, 17, FALSE) / VLOOKUP("buildings|PM25|Work loss days", US_national_yearly!$D:$AM, 10, FALSE), 1)</f>
        <v>1.387346553610546</v>
      </c>
      <c r="J15" s="7">
        <f>$B15 * IFERROR(VLOOKUP("buildings|PM25|Work loss days", US_national_yearly!$D:$AM, 18, FALSE) / VLOOKUP("buildings|PM25|Work loss days", US_national_yearly!$D:$AM, 10, FALSE), 1)</f>
        <v>1.3954864406857277</v>
      </c>
      <c r="K15" s="7">
        <f>$B15 * IFERROR(VLOOKUP("buildings|PM25|Work loss days", US_national_yearly!$D:$AM, 19, FALSE) / VLOOKUP("buildings|PM25|Work loss days", US_national_yearly!$D:$AM, 10, FALSE), 1)</f>
        <v>1.4036263277609093</v>
      </c>
      <c r="L15" s="7">
        <f>$B15 * IFERROR(VLOOKUP("buildings|PM25|Work loss days", US_national_yearly!$D:$AM, 20, FALSE) / VLOOKUP("buildings|PM25|Work loss days", US_national_yearly!$D:$AM, 10, FALSE), 1)</f>
        <v>1.411766214836091</v>
      </c>
      <c r="M15" s="7">
        <f>$B15 * IFERROR(VLOOKUP("buildings|PM25|Work loss days", US_national_yearly!$D:$AM, 21, FALSE) / VLOOKUP("buildings|PM25|Work loss days", US_national_yearly!$D:$AM, 10, FALSE), 1)</f>
        <v>1.4199061019112731</v>
      </c>
      <c r="N15" s="7">
        <f>$B15 * IFERROR(VLOOKUP("buildings|PM25|Work loss days", US_national_yearly!$D:$AM, 22, FALSE) / VLOOKUP("buildings|PM25|Work loss days", US_national_yearly!$D:$AM, 10, FALSE), 1)</f>
        <v>1.4301401005222711</v>
      </c>
      <c r="O15" s="7">
        <f>$B15 * IFERROR(VLOOKUP("buildings|PM25|Work loss days", US_national_yearly!$D:$AM, 23, FALSE) / VLOOKUP("buildings|PM25|Work loss days", US_national_yearly!$D:$AM, 10, FALSE), 1)</f>
        <v>1.4403740991332696</v>
      </c>
      <c r="P15" s="7">
        <f>$B15 * IFERROR(VLOOKUP("buildings|PM25|Work loss days", US_national_yearly!$D:$AM, 24, FALSE) / VLOOKUP("buildings|PM25|Work loss days", US_national_yearly!$D:$AM, 10, FALSE), 1)</f>
        <v>1.4506080977442679</v>
      </c>
      <c r="Q15" s="7">
        <f>$B15 * IFERROR(VLOOKUP("buildings|PM25|Work loss days", US_national_yearly!$D:$AM, 25, FALSE) / VLOOKUP("buildings|PM25|Work loss days", US_national_yearly!$D:$AM, 10, FALSE), 1)</f>
        <v>1.4608420963552662</v>
      </c>
      <c r="R15" s="7">
        <f>$B15 * IFERROR(VLOOKUP("buildings|PM25|Work loss days", US_national_yearly!$D:$AM, 26, FALSE) / VLOOKUP("buildings|PM25|Work loss days", US_national_yearly!$D:$AM, 10, FALSE), 1)</f>
        <v>1.4710760949662647</v>
      </c>
      <c r="S15" s="7">
        <f>$B15 * IFERROR(VLOOKUP("buildings|PM25|Work loss days", US_national_yearly!$D:$AM, 27, FALSE) / VLOOKUP("buildings|PM25|Work loss days", US_national_yearly!$D:$AM, 10, FALSE), 1)</f>
        <v>1.4823808183483596</v>
      </c>
      <c r="T15" s="7">
        <f>$B15 * IFERROR(VLOOKUP("buildings|PM25|Work loss days", US_national_yearly!$D:$AM, 28, FALSE) / VLOOKUP("buildings|PM25|Work loss days", US_national_yearly!$D:$AM, 10, FALSE), 1)</f>
        <v>1.4936855417304549</v>
      </c>
      <c r="U15" s="7">
        <f>$B15 * IFERROR(VLOOKUP("buildings|PM25|Work loss days", US_national_yearly!$D:$AM, 29, FALSE) / VLOOKUP("buildings|PM25|Work loss days", US_national_yearly!$D:$AM, 10, FALSE), 1)</f>
        <v>1.50499026511255</v>
      </c>
      <c r="V15" s="7">
        <f>$B15 * IFERROR(VLOOKUP("buildings|PM25|Work loss days", US_national_yearly!$D:$AM, 30, FALSE) / VLOOKUP("buildings|PM25|Work loss days", US_national_yearly!$D:$AM, 10, FALSE), 1)</f>
        <v>1.5162949884946451</v>
      </c>
      <c r="W15" s="7">
        <f>$B15 * IFERROR(VLOOKUP("buildings|PM25|Work loss days", US_national_yearly!$D:$AM, 31, FALSE) / VLOOKUP("buildings|PM25|Work loss days", US_national_yearly!$D:$AM, 10, FALSE), 1)</f>
        <v>1.5275997118767404</v>
      </c>
      <c r="X15" s="7">
        <f>$B15 * IFERROR(VLOOKUP("buildings|PM25|Work loss days", US_national_yearly!$D:$AM, 32, FALSE) / VLOOKUP("buildings|PM25|Work loss days", US_national_yearly!$D:$AM, 10, FALSE), 1)</f>
        <v>1.5376315764318278</v>
      </c>
      <c r="Y15" s="7">
        <f>$B15 * IFERROR(VLOOKUP("buildings|PM25|Work loss days", US_national_yearly!$D:$AM, 33, FALSE) / VLOOKUP("buildings|PM25|Work loss days", US_national_yearly!$D:$AM, 10, FALSE), 1)</f>
        <v>1.5476634409869159</v>
      </c>
      <c r="Z15" s="7">
        <f>$B15 * IFERROR(VLOOKUP("buildings|PM25|Work loss days", US_national_yearly!$D:$AM, 34, FALSE) / VLOOKUP("buildings|PM25|Work loss days", US_national_yearly!$D:$AM, 10, FALSE), 1)</f>
        <v>1.5576953055420035</v>
      </c>
      <c r="AA15" s="7">
        <f>$B15 * IFERROR(VLOOKUP("buildings|PM25|Work loss days", US_national_yearly!$D:$AM, 35, FALSE) / VLOOKUP("buildings|PM25|Work loss days", US_national_yearly!$D:$AM, 10, FALSE), 1)</f>
        <v>1.5677271700970914</v>
      </c>
      <c r="AB15" s="7">
        <f>$B15 * IFERROR(VLOOKUP("buildings|PM25|Work loss days", US_national_yearly!$D:$AM, 36, FALSE) / VLOOKUP("buildings|PM25|Work loss days", US_national_yearly!$D:$AM, 10, FALSE), 1)</f>
        <v>1.577759034652179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2.7419834433016731E-3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2.8239313111460135E-3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2.9058791789903539E-3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2.9878270468346939E-3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3.0697749146790343E-3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3.1482933766261677E-3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3.2268118385733006E-3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3.2940308663352135E-3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3.3612498940971259E-3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3.4284689218590388E-3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3.4956879496209521E-3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3.562906977382865E-3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3.6077925369131601E-3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3.6526780964434556E-3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3.6975636559737506E-3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3.7424492155040462E-3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3.7873347750343408E-3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3.8111854550148682E-3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3.8350361349953946E-3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3.8588868149759216E-3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3.882737494956448E-3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3.9065881749369763E-3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3.9227149671262861E-3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3.938841759315595E-3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3.9549685515049048E-3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3.9710953436942137E-3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3.9872221358835235E-3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1.4223027635305023E-3</v>
      </c>
      <c r="C2" s="7">
        <f>$B2 * IFERROR(VLOOKUP("buildings|NOx|Premature mortality", US_national_yearly!$D:$AM, 11, FALSE) / VLOOKUP("buildings|NOx|Premature mortality", US_national_yearly!$D:$AM, 10, FALSE), 1)</f>
        <v>1.4432229653430287E-3</v>
      </c>
      <c r="D2" s="7">
        <f>$B2 * IFERROR(VLOOKUP("buildings|NOx|Premature mortality", US_national_yearly!$D:$AM, 12, FALSE) / VLOOKUP("buildings|NOx|Premature mortality", US_national_yearly!$D:$AM, 10, FALSE), 1)</f>
        <v>1.4641431671555546E-3</v>
      </c>
      <c r="E2" s="7">
        <f>$B2 * IFERROR(VLOOKUP("buildings|NOx|Premature mortality", US_national_yearly!$D:$AM, 13, FALSE) / VLOOKUP("buildings|NOx|Premature mortality", US_national_yearly!$D:$AM, 10, FALSE), 1)</f>
        <v>1.4850633689680807E-3</v>
      </c>
      <c r="F2" s="7">
        <f>$B2 * IFERROR(VLOOKUP("buildings|NOx|Premature mortality", US_national_yearly!$D:$AM, 14, FALSE) / VLOOKUP("buildings|NOx|Premature mortality", US_national_yearly!$D:$AM, 10, FALSE), 1)</f>
        <v>1.5059835707806066E-3</v>
      </c>
      <c r="G2" s="7">
        <f>$B2 * IFERROR(VLOOKUP("buildings|NOx|Premature mortality", US_national_yearly!$D:$AM, 15, FALSE) / VLOOKUP("buildings|NOx|Premature mortality", US_national_yearly!$D:$AM, 10, FALSE), 1)</f>
        <v>1.543542913894227E-3</v>
      </c>
      <c r="H2" s="7">
        <f>$B2 * IFERROR(VLOOKUP("buildings|NOx|Premature mortality", US_national_yearly!$D:$AM, 16, FALSE) / VLOOKUP("buildings|NOx|Premature mortality", US_national_yearly!$D:$AM, 10, FALSE), 1)</f>
        <v>1.5811022570078475E-3</v>
      </c>
      <c r="I2" s="7">
        <f>$B2 * IFERROR(VLOOKUP("buildings|NOx|Premature mortality", US_national_yearly!$D:$AM, 17, FALSE) / VLOOKUP("buildings|NOx|Premature mortality", US_national_yearly!$D:$AM, 10, FALSE), 1)</f>
        <v>1.6053751277693422E-3</v>
      </c>
      <c r="J2" s="7">
        <f>$B2 * IFERROR(VLOOKUP("buildings|NOx|Premature mortality", US_national_yearly!$D:$AM, 18, FALSE) / VLOOKUP("buildings|NOx|Premature mortality", US_national_yearly!$D:$AM, 10, FALSE), 1)</f>
        <v>1.6296479985308365E-3</v>
      </c>
      <c r="K2" s="7">
        <f>$B2 * IFERROR(VLOOKUP("buildings|NOx|Premature mortality", US_national_yearly!$D:$AM, 19, FALSE) / VLOOKUP("buildings|NOx|Premature mortality", US_national_yearly!$D:$AM, 10, FALSE), 1)</f>
        <v>1.653920869292331E-3</v>
      </c>
      <c r="L2" s="7">
        <f>$B2 * IFERROR(VLOOKUP("buildings|NOx|Premature mortality", US_national_yearly!$D:$AM, 20, FALSE) / VLOOKUP("buildings|NOx|Premature mortality", US_national_yearly!$D:$AM, 10, FALSE), 1)</f>
        <v>1.6781937400538256E-3</v>
      </c>
      <c r="M2" s="7">
        <f>$B2 * IFERROR(VLOOKUP("buildings|NOx|Premature mortality", US_national_yearly!$D:$AM, 21, FALSE) / VLOOKUP("buildings|NOx|Premature mortality", US_national_yearly!$D:$AM, 10, FALSE), 1)</f>
        <v>1.7024666108153201E-3</v>
      </c>
      <c r="N2" s="7">
        <f>$B2 * IFERROR(VLOOKUP("buildings|NOx|Premature mortality", US_national_yearly!$D:$AM, 22, FALSE) / VLOOKUP("buildings|NOx|Premature mortality", US_national_yearly!$D:$AM, 10, FALSE), 1)</f>
        <v>1.7204518814790788E-3</v>
      </c>
      <c r="O2" s="7">
        <f>$B2 * IFERROR(VLOOKUP("buildings|NOx|Premature mortality", US_national_yearly!$D:$AM, 23, FALSE) / VLOOKUP("buildings|NOx|Premature mortality", US_national_yearly!$D:$AM, 10, FALSE), 1)</f>
        <v>1.7384371521428376E-3</v>
      </c>
      <c r="P2" s="7">
        <f>$B2 * IFERROR(VLOOKUP("buildings|NOx|Premature mortality", US_national_yearly!$D:$AM, 24, FALSE) / VLOOKUP("buildings|NOx|Premature mortality", US_national_yearly!$D:$AM, 10, FALSE), 1)</f>
        <v>1.7564224228065965E-3</v>
      </c>
      <c r="Q2" s="7">
        <f>$B2 * IFERROR(VLOOKUP("buildings|NOx|Premature mortality", US_national_yearly!$D:$AM, 25, FALSE) / VLOOKUP("buildings|NOx|Premature mortality", US_national_yearly!$D:$AM, 10, FALSE), 1)</f>
        <v>1.7744076934703549E-3</v>
      </c>
      <c r="R2" s="7">
        <f>$B2 * IFERROR(VLOOKUP("buildings|NOx|Premature mortality", US_national_yearly!$D:$AM, 26, FALSE) / VLOOKUP("buildings|NOx|Premature mortality", US_national_yearly!$D:$AM, 10, FALSE), 1)</f>
        <v>1.792392964134114E-3</v>
      </c>
      <c r="S2" s="7">
        <f>$B2 * IFERROR(VLOOKUP("buildings|NOx|Premature mortality", US_national_yearly!$D:$AM, 27, FALSE) / VLOOKUP("buildings|NOx|Premature mortality", US_national_yearly!$D:$AM, 10, FALSE), 1)</f>
        <v>1.8005697772594761E-3</v>
      </c>
      <c r="T2" s="7">
        <f>$B2 * IFERROR(VLOOKUP("buildings|NOx|Premature mortality", US_national_yearly!$D:$AM, 28, FALSE) / VLOOKUP("buildings|NOx|Premature mortality", US_national_yearly!$D:$AM, 10, FALSE), 1)</f>
        <v>1.8087465903848382E-3</v>
      </c>
      <c r="U2" s="7">
        <f>$B2 * IFERROR(VLOOKUP("buildings|NOx|Premature mortality", US_national_yearly!$D:$AM, 29, FALSE) / VLOOKUP("buildings|NOx|Premature mortality", US_national_yearly!$D:$AM, 10, FALSE), 1)</f>
        <v>1.8169234035102005E-3</v>
      </c>
      <c r="V2" s="7">
        <f>$B2 * IFERROR(VLOOKUP("buildings|NOx|Premature mortality", US_national_yearly!$D:$AM, 30, FALSE) / VLOOKUP("buildings|NOx|Premature mortality", US_national_yearly!$D:$AM, 10, FALSE), 1)</f>
        <v>1.8251002166355626E-3</v>
      </c>
      <c r="W2" s="7">
        <f>$B2 * IFERROR(VLOOKUP("buildings|NOx|Premature mortality", US_national_yearly!$D:$AM, 31, FALSE) / VLOOKUP("buildings|NOx|Premature mortality", US_national_yearly!$D:$AM, 10, FALSE), 1)</f>
        <v>1.8332770297609248E-3</v>
      </c>
      <c r="X2" s="7">
        <f>$B2 * IFERROR(VLOOKUP("buildings|NOx|Premature mortality", US_national_yearly!$D:$AM, 32, FALSE) / VLOOKUP("buildings|NOx|Premature mortality", US_national_yearly!$D:$AM, 10, FALSE), 1)</f>
        <v>1.8335650104537187E-3</v>
      </c>
      <c r="Y2" s="7">
        <f>$B2 * IFERROR(VLOOKUP("buildings|NOx|Premature mortality", US_national_yearly!$D:$AM, 33, FALSE) / VLOOKUP("buildings|NOx|Premature mortality", US_national_yearly!$D:$AM, 10, FALSE), 1)</f>
        <v>1.8338529911465127E-3</v>
      </c>
      <c r="Z2" s="7">
        <f>$B2 * IFERROR(VLOOKUP("buildings|NOx|Premature mortality", US_national_yearly!$D:$AM, 34, FALSE) / VLOOKUP("buildings|NOx|Premature mortality", US_national_yearly!$D:$AM, 10, FALSE), 1)</f>
        <v>1.8341409718393067E-3</v>
      </c>
      <c r="AA2" s="7">
        <f>$B2 * IFERROR(VLOOKUP("buildings|NOx|Premature mortality", US_national_yearly!$D:$AM, 35, FALSE) / VLOOKUP("buildings|NOx|Premature mortality", US_national_yearly!$D:$AM, 10, FALSE), 1)</f>
        <v>1.8344289525321004E-3</v>
      </c>
      <c r="AB2" s="7">
        <f>$B2 * IFERROR(VLOOKUP("buildings|NOx|Premature mortality", US_national_yearly!$D:$AM, 36, FALSE) / VLOOKUP("buildings|NOx|Premature mortality", US_national_yearly!$D:$AM, 10, FALSE), 1)</f>
        <v>1.8347169332248946E-3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4.5179625336664973E-6</v>
      </c>
      <c r="C3" s="7">
        <f>$B3 * IFERROR(VLOOKUP("buildings|NOx|Infant mortality", US_national_yearly!$D:$AM, 11, FALSE) / VLOOKUP("buildings|NOx|Infant mortality", US_national_yearly!$D:$AM, 10, FALSE), 1)</f>
        <v>4.4750471920426841E-6</v>
      </c>
      <c r="D3" s="7">
        <f>$B3 * IFERROR(VLOOKUP("buildings|NOx|Infant mortality", US_national_yearly!$D:$AM, 12, FALSE) / VLOOKUP("buildings|NOx|Infant mortality", US_national_yearly!$D:$AM, 10, FALSE), 1)</f>
        <v>4.4321318504188692E-6</v>
      </c>
      <c r="E3" s="7">
        <f>$B3 * IFERROR(VLOOKUP("buildings|NOx|Infant mortality", US_national_yearly!$D:$AM, 13, FALSE) / VLOOKUP("buildings|NOx|Infant mortality", US_national_yearly!$D:$AM, 10, FALSE), 1)</f>
        <v>4.389216508795056E-6</v>
      </c>
      <c r="F3" s="7">
        <f>$B3 * IFERROR(VLOOKUP("buildings|NOx|Infant mortality", US_national_yearly!$D:$AM, 14, FALSE) / VLOOKUP("buildings|NOx|Infant mortality", US_national_yearly!$D:$AM, 10, FALSE), 1)</f>
        <v>4.3463011671712412E-6</v>
      </c>
      <c r="G3" s="7">
        <f>$B3 * IFERROR(VLOOKUP("buildings|NOx|Infant mortality", US_national_yearly!$D:$AM, 15, FALSE) / VLOOKUP("buildings|NOx|Infant mortality", US_national_yearly!$D:$AM, 10, FALSE), 1)</f>
        <v>2.8848028409785691E-6</v>
      </c>
      <c r="H3" s="7">
        <f>$B3 * IFERROR(VLOOKUP("buildings|NOx|Infant mortality", US_national_yearly!$D:$AM, 16, FALSE) / VLOOKUP("buildings|NOx|Infant mortality", US_national_yearly!$D:$AM, 10, FALSE), 1)</f>
        <v>1.4233045147858969E-6</v>
      </c>
      <c r="I3" s="7">
        <f>$B3 * IFERROR(VLOOKUP("buildings|NOx|Infant mortality", US_national_yearly!$D:$AM, 17, FALSE) / VLOOKUP("buildings|NOx|Infant mortality", US_national_yearly!$D:$AM, 10, FALSE), 1)</f>
        <v>1.4132494969536406E-6</v>
      </c>
      <c r="J3" s="7">
        <f>$B3 * IFERROR(VLOOKUP("buildings|NOx|Infant mortality", US_national_yearly!$D:$AM, 18, FALSE) / VLOOKUP("buildings|NOx|Infant mortality", US_national_yearly!$D:$AM, 10, FALSE), 1)</f>
        <v>1.403194479121384E-6</v>
      </c>
      <c r="K3" s="7">
        <f>$B3 * IFERROR(VLOOKUP("buildings|NOx|Infant mortality", US_national_yearly!$D:$AM, 19, FALSE) / VLOOKUP("buildings|NOx|Infant mortality", US_national_yearly!$D:$AM, 10, FALSE), 1)</f>
        <v>1.3931394612891277E-6</v>
      </c>
      <c r="L3" s="7">
        <f>$B3 * IFERROR(VLOOKUP("buildings|NOx|Infant mortality", US_national_yearly!$D:$AM, 20, FALSE) / VLOOKUP("buildings|NOx|Infant mortality", US_national_yearly!$D:$AM, 10, FALSE), 1)</f>
        <v>1.3830844434568713E-6</v>
      </c>
      <c r="M3" s="7">
        <f>$B3 * IFERROR(VLOOKUP("buildings|NOx|Infant mortality", US_national_yearly!$D:$AM, 21, FALSE) / VLOOKUP("buildings|NOx|Infant mortality", US_national_yearly!$D:$AM, 10, FALSE), 1)</f>
        <v>1.3730294256246147E-6</v>
      </c>
      <c r="N3" s="7">
        <f>$B3 * IFERROR(VLOOKUP("buildings|NOx|Infant mortality", US_national_yearly!$D:$AM, 22, FALSE) / VLOOKUP("buildings|NOx|Infant mortality", US_national_yearly!$D:$AM, 10, FALSE), 1)</f>
        <v>1.3663665282868914E-6</v>
      </c>
      <c r="O3" s="7">
        <f>$B3 * IFERROR(VLOOKUP("buildings|NOx|Infant mortality", US_national_yearly!$D:$AM, 23, FALSE) / VLOOKUP("buildings|NOx|Infant mortality", US_national_yearly!$D:$AM, 10, FALSE), 1)</f>
        <v>1.3597036309491681E-6</v>
      </c>
      <c r="P3" s="7">
        <f>$B3 * IFERROR(VLOOKUP("buildings|NOx|Infant mortality", US_national_yearly!$D:$AM, 24, FALSE) / VLOOKUP("buildings|NOx|Infant mortality", US_national_yearly!$D:$AM, 10, FALSE), 1)</f>
        <v>1.3530407336114446E-6</v>
      </c>
      <c r="Q3" s="7">
        <f>$B3 * IFERROR(VLOOKUP("buildings|NOx|Infant mortality", US_national_yearly!$D:$AM, 25, FALSE) / VLOOKUP("buildings|NOx|Infant mortality", US_national_yearly!$D:$AM, 10, FALSE), 1)</f>
        <v>1.3463778362737217E-6</v>
      </c>
      <c r="R3" s="7">
        <f>$B3 * IFERROR(VLOOKUP("buildings|NOx|Infant mortality", US_national_yearly!$D:$AM, 26, FALSE) / VLOOKUP("buildings|NOx|Infant mortality", US_national_yearly!$D:$AM, 10, FALSE), 1)</f>
        <v>1.3397149389359981E-6</v>
      </c>
      <c r="S3" s="7">
        <f>$B3 * IFERROR(VLOOKUP("buildings|NOx|Infant mortality", US_national_yearly!$D:$AM, 27, FALSE) / VLOOKUP("buildings|NOx|Infant mortality", US_national_yearly!$D:$AM, 10, FALSE), 1)</f>
        <v>1.331699898983507E-6</v>
      </c>
      <c r="T3" s="7">
        <f>$B3 * IFERROR(VLOOKUP("buildings|NOx|Infant mortality", US_national_yearly!$D:$AM, 28, FALSE) / VLOOKUP("buildings|NOx|Infant mortality", US_national_yearly!$D:$AM, 10, FALSE), 1)</f>
        <v>1.3236848590310162E-6</v>
      </c>
      <c r="U3" s="7">
        <f>$B3 * IFERROR(VLOOKUP("buildings|NOx|Infant mortality", US_national_yearly!$D:$AM, 29, FALSE) / VLOOKUP("buildings|NOx|Infant mortality", US_national_yearly!$D:$AM, 10, FALSE), 1)</f>
        <v>1.3156698190785251E-6</v>
      </c>
      <c r="V3" s="7">
        <f>$B3 * IFERROR(VLOOKUP("buildings|NOx|Infant mortality", US_national_yearly!$D:$AM, 30, FALSE) / VLOOKUP("buildings|NOx|Infant mortality", US_national_yearly!$D:$AM, 10, FALSE), 1)</f>
        <v>1.3076547791260338E-6</v>
      </c>
      <c r="W3" s="7">
        <f>$B3 * IFERROR(VLOOKUP("buildings|NOx|Infant mortality", US_national_yearly!$D:$AM, 31, FALSE) / VLOOKUP("buildings|NOx|Infant mortality", US_national_yearly!$D:$AM, 10, FALSE), 1)</f>
        <v>1.2996397391735429E-6</v>
      </c>
      <c r="X3" s="7">
        <f>$B3 * IFERROR(VLOOKUP("buildings|NOx|Infant mortality", US_national_yearly!$D:$AM, 32, FALSE) / VLOOKUP("buildings|NOx|Infant mortality", US_national_yearly!$D:$AM, 10, FALSE), 1)</f>
        <v>1.2911591244326098E-6</v>
      </c>
      <c r="Y3" s="7">
        <f>$B3 * IFERROR(VLOOKUP("buildings|NOx|Infant mortality", US_national_yearly!$D:$AM, 33, FALSE) / VLOOKUP("buildings|NOx|Infant mortality", US_national_yearly!$D:$AM, 10, FALSE), 1)</f>
        <v>1.2826785096916766E-6</v>
      </c>
      <c r="Z3" s="7">
        <f>$B3 * IFERROR(VLOOKUP("buildings|NOx|Infant mortality", US_national_yearly!$D:$AM, 34, FALSE) / VLOOKUP("buildings|NOx|Infant mortality", US_national_yearly!$D:$AM, 10, FALSE), 1)</f>
        <v>1.2741978949507432E-6</v>
      </c>
      <c r="AA3" s="7">
        <f>$B3 * IFERROR(VLOOKUP("buildings|NOx|Infant mortality", US_national_yearly!$D:$AM, 35, FALSE) / VLOOKUP("buildings|NOx|Infant mortality", US_national_yearly!$D:$AM, 10, FALSE), 1)</f>
        <v>1.2657172802098101E-6</v>
      </c>
      <c r="AB3" s="7">
        <f>$B3 * IFERROR(VLOOKUP("buildings|NOx|Infant mortality", US_national_yearly!$D:$AM, 36, FALSE) / VLOOKUP("buildings|NOx|Infant mortality", US_national_yearly!$D:$AM, 10, FALSE), 1)</f>
        <v>1.2572366654688767E-6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4.0667424721072378E-3</v>
      </c>
      <c r="C6" s="7">
        <f>$B6 * IFERROR(VLOOKUP("buildings|NOx|Asthma symptoms cough", US_national_yearly!$D:$AM, 11, FALSE) / VLOOKUP("buildings|NOx|Asthma symptoms cough", US_national_yearly!$D:$AM, 10, FALSE), 1)</f>
        <v>4.122396950543482E-3</v>
      </c>
      <c r="D6" s="7">
        <f>$B6 * IFERROR(VLOOKUP("buildings|NOx|Asthma symptoms cough", US_national_yearly!$D:$AM, 12, FALSE) / VLOOKUP("buildings|NOx|Asthma symptoms cough", US_national_yearly!$D:$AM, 10, FALSE), 1)</f>
        <v>4.1780514289797279E-3</v>
      </c>
      <c r="E6" s="7">
        <f>$B6 * IFERROR(VLOOKUP("buildings|NOx|Asthma symptoms cough", US_national_yearly!$D:$AM, 13, FALSE) / VLOOKUP("buildings|NOx|Asthma symptoms cough", US_national_yearly!$D:$AM, 10, FALSE), 1)</f>
        <v>4.2337059074159722E-3</v>
      </c>
      <c r="F6" s="7">
        <f>$B6 * IFERROR(VLOOKUP("buildings|NOx|Asthma symptoms cough", US_national_yearly!$D:$AM, 14, FALSE) / VLOOKUP("buildings|NOx|Asthma symptoms cough", US_national_yearly!$D:$AM, 10, FALSE), 1)</f>
        <v>4.2893603858522164E-3</v>
      </c>
      <c r="G6" s="7">
        <f>$B6 * IFERROR(VLOOKUP("buildings|NOx|Asthma symptoms cough", US_national_yearly!$D:$AM, 15, FALSE) / VLOOKUP("buildings|NOx|Asthma symptoms cough", US_national_yearly!$D:$AM, 10, FALSE), 1)</f>
        <v>4.3338387426375023E-3</v>
      </c>
      <c r="H6" s="7">
        <f>$B6 * IFERROR(VLOOKUP("buildings|NOx|Asthma symptoms cough", US_national_yearly!$D:$AM, 16, FALSE) / VLOOKUP("buildings|NOx|Asthma symptoms cough", US_national_yearly!$D:$AM, 10, FALSE), 1)</f>
        <v>4.3783170994227882E-3</v>
      </c>
      <c r="I6" s="7">
        <f>$B6 * IFERROR(VLOOKUP("buildings|NOx|Asthma symptoms cough", US_national_yearly!$D:$AM, 17, FALSE) / VLOOKUP("buildings|NOx|Asthma symptoms cough", US_national_yearly!$D:$AM, 10, FALSE), 1)</f>
        <v>4.3937097450442936E-3</v>
      </c>
      <c r="J6" s="7">
        <f>$B6 * IFERROR(VLOOKUP("buildings|NOx|Asthma symptoms cough", US_national_yearly!$D:$AM, 18, FALSE) / VLOOKUP("buildings|NOx|Asthma symptoms cough", US_national_yearly!$D:$AM, 10, FALSE), 1)</f>
        <v>4.409102390665799E-3</v>
      </c>
      <c r="K6" s="7">
        <f>$B6 * IFERROR(VLOOKUP("buildings|NOx|Asthma symptoms cough", US_national_yearly!$D:$AM, 19, FALSE) / VLOOKUP("buildings|NOx|Asthma symptoms cough", US_national_yearly!$D:$AM, 10, FALSE), 1)</f>
        <v>4.4244950362873044E-3</v>
      </c>
      <c r="L6" s="7">
        <f>$B6 * IFERROR(VLOOKUP("buildings|NOx|Asthma symptoms cough", US_national_yearly!$D:$AM, 20, FALSE) / VLOOKUP("buildings|NOx|Asthma symptoms cough", US_national_yearly!$D:$AM, 10, FALSE), 1)</f>
        <v>4.4398876819088098E-3</v>
      </c>
      <c r="M6" s="7">
        <f>$B6 * IFERROR(VLOOKUP("buildings|NOx|Asthma symptoms cough", US_national_yearly!$D:$AM, 21, FALSE) / VLOOKUP("buildings|NOx|Asthma symptoms cough", US_national_yearly!$D:$AM, 10, FALSE), 1)</f>
        <v>4.4552803275303143E-3</v>
      </c>
      <c r="N6" s="7">
        <f>$B6 * IFERROR(VLOOKUP("buildings|NOx|Asthma symptoms cough", US_national_yearly!$D:$AM, 22, FALSE) / VLOOKUP("buildings|NOx|Asthma symptoms cough", US_national_yearly!$D:$AM, 10, FALSE), 1)</f>
        <v>4.47307903312403E-3</v>
      </c>
      <c r="O6" s="7">
        <f>$B6 * IFERROR(VLOOKUP("buildings|NOx|Asthma symptoms cough", US_national_yearly!$D:$AM, 23, FALSE) / VLOOKUP("buildings|NOx|Asthma symptoms cough", US_national_yearly!$D:$AM, 10, FALSE), 1)</f>
        <v>4.4908777387177457E-3</v>
      </c>
      <c r="P6" s="7">
        <f>$B6 * IFERROR(VLOOKUP("buildings|NOx|Asthma symptoms cough", US_national_yearly!$D:$AM, 24, FALSE) / VLOOKUP("buildings|NOx|Asthma symptoms cough", US_national_yearly!$D:$AM, 10, FALSE), 1)</f>
        <v>4.5086764443114605E-3</v>
      </c>
      <c r="Q6" s="7">
        <f>$B6 * IFERROR(VLOOKUP("buildings|NOx|Asthma symptoms cough", US_national_yearly!$D:$AM, 25, FALSE) / VLOOKUP("buildings|NOx|Asthma symptoms cough", US_national_yearly!$D:$AM, 10, FALSE), 1)</f>
        <v>4.5264751499051771E-3</v>
      </c>
      <c r="R6" s="7">
        <f>$B6 * IFERROR(VLOOKUP("buildings|NOx|Asthma symptoms cough", US_national_yearly!$D:$AM, 26, FALSE) / VLOOKUP("buildings|NOx|Asthma symptoms cough", US_national_yearly!$D:$AM, 10, FALSE), 1)</f>
        <v>4.5442738554988919E-3</v>
      </c>
      <c r="S6" s="7">
        <f>$B6 * IFERROR(VLOOKUP("buildings|NOx|Asthma symptoms cough", US_national_yearly!$D:$AM, 27, FALSE) / VLOOKUP("buildings|NOx|Asthma symptoms cough", US_national_yearly!$D:$AM, 10, FALSE), 1)</f>
        <v>4.5675193422075686E-3</v>
      </c>
      <c r="T6" s="7">
        <f>$B6 * IFERROR(VLOOKUP("buildings|NOx|Asthma symptoms cough", US_national_yearly!$D:$AM, 28, FALSE) / VLOOKUP("buildings|NOx|Asthma symptoms cough", US_national_yearly!$D:$AM, 10, FALSE), 1)</f>
        <v>4.5907648289162436E-3</v>
      </c>
      <c r="U6" s="7">
        <f>$B6 * IFERROR(VLOOKUP("buildings|NOx|Asthma symptoms cough", US_national_yearly!$D:$AM, 29, FALSE) / VLOOKUP("buildings|NOx|Asthma symptoms cough", US_national_yearly!$D:$AM, 10, FALSE), 1)</f>
        <v>4.6140103156249194E-3</v>
      </c>
      <c r="V6" s="7">
        <f>$B6 * IFERROR(VLOOKUP("buildings|NOx|Asthma symptoms cough", US_national_yearly!$D:$AM, 30, FALSE) / VLOOKUP("buildings|NOx|Asthma symptoms cough", US_national_yearly!$D:$AM, 10, FALSE), 1)</f>
        <v>4.6372558023335961E-3</v>
      </c>
      <c r="W6" s="7">
        <f>$B6 * IFERROR(VLOOKUP("buildings|NOx|Asthma symptoms cough", US_national_yearly!$D:$AM, 31, FALSE) / VLOOKUP("buildings|NOx|Asthma symptoms cough", US_national_yearly!$D:$AM, 10, FALSE), 1)</f>
        <v>4.6605012890422719E-3</v>
      </c>
      <c r="X6" s="7">
        <f>$B6 * IFERROR(VLOOKUP("buildings|NOx|Asthma symptoms cough", US_national_yearly!$D:$AM, 32, FALSE) / VLOOKUP("buildings|NOx|Asthma symptoms cough", US_national_yearly!$D:$AM, 10, FALSE), 1)</f>
        <v>4.6820995448355347E-3</v>
      </c>
      <c r="Y6" s="7">
        <f>$B6 * IFERROR(VLOOKUP("buildings|NOx|Asthma symptoms cough", US_national_yearly!$D:$AM, 33, FALSE) / VLOOKUP("buildings|NOx|Asthma symptoms cough", US_national_yearly!$D:$AM, 10, FALSE), 1)</f>
        <v>4.7036978006287982E-3</v>
      </c>
      <c r="Z6" s="7">
        <f>$B6 * IFERROR(VLOOKUP("buildings|NOx|Asthma symptoms cough", US_national_yearly!$D:$AM, 34, FALSE) / VLOOKUP("buildings|NOx|Asthma symptoms cough", US_national_yearly!$D:$AM, 10, FALSE), 1)</f>
        <v>4.725296056422061E-3</v>
      </c>
      <c r="AA6" s="7">
        <f>$B6 * IFERROR(VLOOKUP("buildings|NOx|Asthma symptoms cough", US_national_yearly!$D:$AM, 35, FALSE) / VLOOKUP("buildings|NOx|Asthma symptoms cough", US_national_yearly!$D:$AM, 10, FALSE), 1)</f>
        <v>4.7468943122153245E-3</v>
      </c>
      <c r="AB6" s="7">
        <f>$B6 * IFERROR(VLOOKUP("buildings|NOx|Asthma symptoms cough", US_national_yearly!$D:$AM, 36, FALSE) / VLOOKUP("buildings|NOx|Asthma symptoms cough", US_national_yearly!$D:$AM, 10, FALSE), 1)</f>
        <v>4.7684925680085881E-3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5.4764418702219885E-3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5.551388468749135E-3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5.6263350672762806E-3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5.701281665803427E-3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5.7762282643305726E-3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5.8361246399009411E-3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5.8960210154713104E-3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5.9167493818209557E-3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5.9374777481706002E-3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5.9582061145202472E-3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5.9789344808698925E-3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5.9996628472195378E-3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6.0236313124507213E-3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6.0475997776819048E-3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6.0715682429130884E-3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6.0955367081442719E-3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6.1195051733754554E-3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6.1508084970835313E-3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6.1821118207916071E-3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6.2134151444996821E-3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6.2447184682077571E-3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6.2760217919158321E-3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6.3051068870432639E-3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6.334191982170694E-3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6.3632770772981259E-3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6.3923621724255551E-3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6.421447267552987E-3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8.3671355831545259E-3</v>
      </c>
      <c r="C8" s="7">
        <f>$B8 * IFERROR(VLOOKUP("buildings|NOx|Asthma symptoms wheeze", US_national_yearly!$D:$AM, 11, FALSE) / VLOOKUP("buildings|NOx|Asthma symptoms wheeze", US_national_yearly!$D:$AM, 10, FALSE), 1)</f>
        <v>8.4816421127082604E-3</v>
      </c>
      <c r="D8" s="7">
        <f>$B8 * IFERROR(VLOOKUP("buildings|NOx|Asthma symptoms wheeze", US_national_yearly!$D:$AM, 12, FALSE) / VLOOKUP("buildings|NOx|Asthma symptoms wheeze", US_national_yearly!$D:$AM, 10, FALSE), 1)</f>
        <v>8.5961486422619967E-3</v>
      </c>
      <c r="E8" s="7">
        <f>$B8 * IFERROR(VLOOKUP("buildings|NOx|Asthma symptoms wheeze", US_national_yearly!$D:$AM, 13, FALSE) / VLOOKUP("buildings|NOx|Asthma symptoms wheeze", US_national_yearly!$D:$AM, 10, FALSE), 1)</f>
        <v>8.7106551718157295E-3</v>
      </c>
      <c r="F8" s="7">
        <f>$B8 * IFERROR(VLOOKUP("buildings|NOx|Asthma symptoms wheeze", US_national_yearly!$D:$AM, 14, FALSE) / VLOOKUP("buildings|NOx|Asthma symptoms wheeze", US_national_yearly!$D:$AM, 10, FALSE), 1)</f>
        <v>8.8251617013694657E-3</v>
      </c>
      <c r="G8" s="7">
        <f>$B8 * IFERROR(VLOOKUP("buildings|NOx|Asthma symptoms wheeze", US_national_yearly!$D:$AM, 15, FALSE) / VLOOKUP("buildings|NOx|Asthma symptoms wheeze", US_national_yearly!$D:$AM, 10, FALSE), 1)</f>
        <v>8.9166738746740918E-3</v>
      </c>
      <c r="H8" s="7">
        <f>$B8 * IFERROR(VLOOKUP("buildings|NOx|Asthma symptoms wheeze", US_national_yearly!$D:$AM, 16, FALSE) / VLOOKUP("buildings|NOx|Asthma symptoms wheeze", US_national_yearly!$D:$AM, 10, FALSE), 1)</f>
        <v>9.0081860479787144E-3</v>
      </c>
      <c r="I8" s="7">
        <f>$B8 * IFERROR(VLOOKUP("buildings|NOx|Asthma symptoms wheeze", US_national_yearly!$D:$AM, 17, FALSE) / VLOOKUP("buildings|NOx|Asthma symptoms wheeze", US_national_yearly!$D:$AM, 10, FALSE), 1)</f>
        <v>9.0398557083654282E-3</v>
      </c>
      <c r="J8" s="7">
        <f>$B8 * IFERROR(VLOOKUP("buildings|NOx|Asthma symptoms wheeze", US_national_yearly!$D:$AM, 18, FALSE) / VLOOKUP("buildings|NOx|Asthma symptoms wheeze", US_national_yearly!$D:$AM, 10, FALSE), 1)</f>
        <v>9.0715253687521404E-3</v>
      </c>
      <c r="K8" s="7">
        <f>$B8 * IFERROR(VLOOKUP("buildings|NOx|Asthma symptoms wheeze", US_national_yearly!$D:$AM, 19, FALSE) / VLOOKUP("buildings|NOx|Asthma symptoms wheeze", US_national_yearly!$D:$AM, 10, FALSE), 1)</f>
        <v>9.1031950291388525E-3</v>
      </c>
      <c r="L8" s="7">
        <f>$B8 * IFERROR(VLOOKUP("buildings|NOx|Asthma symptoms wheeze", US_national_yearly!$D:$AM, 20, FALSE) / VLOOKUP("buildings|NOx|Asthma symptoms wheeze", US_national_yearly!$D:$AM, 10, FALSE), 1)</f>
        <v>9.1348646895255629E-3</v>
      </c>
      <c r="M8" s="7">
        <f>$B8 * IFERROR(VLOOKUP("buildings|NOx|Asthma symptoms wheeze", US_national_yearly!$D:$AM, 21, FALSE) / VLOOKUP("buildings|NOx|Asthma symptoms wheeze", US_national_yearly!$D:$AM, 10, FALSE), 1)</f>
        <v>9.1665343499122767E-3</v>
      </c>
      <c r="N8" s="7">
        <f>$B8 * IFERROR(VLOOKUP("buildings|NOx|Asthma symptoms wheeze", US_national_yearly!$D:$AM, 22, FALSE) / VLOOKUP("buildings|NOx|Asthma symptoms wheeze", US_national_yearly!$D:$AM, 10, FALSE), 1)</f>
        <v>9.2031543680272509E-3</v>
      </c>
      <c r="O8" s="7">
        <f>$B8 * IFERROR(VLOOKUP("buildings|NOx|Asthma symptoms wheeze", US_national_yearly!$D:$AM, 23, FALSE) / VLOOKUP("buildings|NOx|Asthma symptoms wheeze", US_national_yearly!$D:$AM, 10, FALSE), 1)</f>
        <v>9.2397743861422268E-3</v>
      </c>
      <c r="P8" s="7">
        <f>$B8 * IFERROR(VLOOKUP("buildings|NOx|Asthma symptoms wheeze", US_national_yearly!$D:$AM, 24, FALSE) / VLOOKUP("buildings|NOx|Asthma symptoms wheeze", US_national_yearly!$D:$AM, 10, FALSE), 1)</f>
        <v>9.2763944042572009E-3</v>
      </c>
      <c r="Q8" s="7">
        <f>$B8 * IFERROR(VLOOKUP("buildings|NOx|Asthma symptoms wheeze", US_national_yearly!$D:$AM, 25, FALSE) / VLOOKUP("buildings|NOx|Asthma symptoms wheeze", US_national_yearly!$D:$AM, 10, FALSE), 1)</f>
        <v>9.3130144223721768E-3</v>
      </c>
      <c r="R8" s="7">
        <f>$B8 * IFERROR(VLOOKUP("buildings|NOx|Asthma symptoms wheeze", US_national_yearly!$D:$AM, 26, FALSE) / VLOOKUP("buildings|NOx|Asthma symptoms wheeze", US_national_yearly!$D:$AM, 10, FALSE), 1)</f>
        <v>9.349634440487151E-3</v>
      </c>
      <c r="S8" s="7">
        <f>$B8 * IFERROR(VLOOKUP("buildings|NOx|Asthma symptoms wheeze", US_national_yearly!$D:$AM, 27, FALSE) / VLOOKUP("buildings|NOx|Asthma symptoms wheeze", US_national_yearly!$D:$AM, 10, FALSE), 1)</f>
        <v>9.3974609602350077E-3</v>
      </c>
      <c r="T8" s="7">
        <f>$B8 * IFERROR(VLOOKUP("buildings|NOx|Asthma symptoms wheeze", US_national_yearly!$D:$AM, 28, FALSE) / VLOOKUP("buildings|NOx|Asthma symptoms wheeze", US_national_yearly!$D:$AM, 10, FALSE), 1)</f>
        <v>9.4452874799828643E-3</v>
      </c>
      <c r="U8" s="7">
        <f>$B8 * IFERROR(VLOOKUP("buildings|NOx|Asthma symptoms wheeze", US_national_yearly!$D:$AM, 29, FALSE) / VLOOKUP("buildings|NOx|Asthma symptoms wheeze", US_national_yearly!$D:$AM, 10, FALSE), 1)</f>
        <v>9.493113999730721E-3</v>
      </c>
      <c r="V8" s="7">
        <f>$B8 * IFERROR(VLOOKUP("buildings|NOx|Asthma symptoms wheeze", US_national_yearly!$D:$AM, 30, FALSE) / VLOOKUP("buildings|NOx|Asthma symptoms wheeze", US_national_yearly!$D:$AM, 10, FALSE), 1)</f>
        <v>9.5409405194785777E-3</v>
      </c>
      <c r="W8" s="7">
        <f>$B8 * IFERROR(VLOOKUP("buildings|NOx|Asthma symptoms wheeze", US_national_yearly!$D:$AM, 31, FALSE) / VLOOKUP("buildings|NOx|Asthma symptoms wheeze", US_national_yearly!$D:$AM, 10, FALSE), 1)</f>
        <v>9.5887670392264344E-3</v>
      </c>
      <c r="X8" s="7">
        <f>$B8 * IFERROR(VLOOKUP("buildings|NOx|Asthma symptoms wheeze", US_national_yearly!$D:$AM, 32, FALSE) / VLOOKUP("buildings|NOx|Asthma symptoms wheeze", US_national_yearly!$D:$AM, 10, FALSE), 1)</f>
        <v>9.6332044571310182E-3</v>
      </c>
      <c r="Y8" s="7">
        <f>$B8 * IFERROR(VLOOKUP("buildings|NOx|Asthma symptoms wheeze", US_national_yearly!$D:$AM, 33, FALSE) / VLOOKUP("buildings|NOx|Asthma symptoms wheeze", US_national_yearly!$D:$AM, 10, FALSE), 1)</f>
        <v>9.677641875035602E-3</v>
      </c>
      <c r="Z8" s="7">
        <f>$B8 * IFERROR(VLOOKUP("buildings|NOx|Asthma symptoms wheeze", US_national_yearly!$D:$AM, 34, FALSE) / VLOOKUP("buildings|NOx|Asthma symptoms wheeze", US_national_yearly!$D:$AM, 10, FALSE), 1)</f>
        <v>9.7220792929401875E-3</v>
      </c>
      <c r="AA8" s="7">
        <f>$B8 * IFERROR(VLOOKUP("buildings|NOx|Asthma symptoms wheeze", US_national_yearly!$D:$AM, 35, FALSE) / VLOOKUP("buildings|NOx|Asthma symptoms wheeze", US_national_yearly!$D:$AM, 10, FALSE), 1)</f>
        <v>9.7665167108447713E-3</v>
      </c>
      <c r="AB8" s="7">
        <f>$B8 * IFERROR(VLOOKUP("buildings|NOx|Asthma symptoms wheeze", US_national_yearly!$D:$AM, 36, FALSE) / VLOOKUP("buildings|NOx|Asthma symptoms wheeze", US_national_yearly!$D:$AM, 10, FALSE), 1)</f>
        <v>9.8109541287493569E-3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9.8696333419908102E-5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1.0116219720610693E-4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1.0362806099230576E-4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1.060939247785046E-4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1.0855978856470343E-4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1.1091722938000927E-4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1.1327467019531507E-4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1.1527726062598599E-4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1.1727985105665692E-4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1.1928244148732786E-4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1.2128503191799878E-4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1.2328762234866972E-4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1.2462634303290571E-4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1.2596506371714172E-4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1.2730378440137772E-4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1.2864250508561376E-4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1.2998122576984974E-4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1.3069900725937167E-4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1.3141678874889357E-4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1.3213457023841547E-4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1.3285235172793739E-4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1.3357013321745929E-4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1.3406148851525439E-4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1.3455284381304946E-4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1.3504419911084458E-4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1.3553555440863965E-4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1.3602690970643478E-4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6.4513044620644923E-4</v>
      </c>
      <c r="C13" s="7">
        <f>$B13 * IFERROR(VLOOKUP("buildings|NOx|Non-fatal heart attacks", US_national_yearly!$D:$AM, 11, FALSE) / VLOOKUP("buildings|NOx|Non-fatal heart attacks", US_national_yearly!$D:$AM, 10, FALSE), 1)</f>
        <v>6.6358631293979634E-4</v>
      </c>
      <c r="D13" s="7">
        <f>$B13 * IFERROR(VLOOKUP("buildings|NOx|Non-fatal heart attacks", US_national_yearly!$D:$AM, 12, FALSE) / VLOOKUP("buildings|NOx|Non-fatal heart attacks", US_national_yearly!$D:$AM, 10, FALSE), 1)</f>
        <v>6.8204217967314377E-4</v>
      </c>
      <c r="E13" s="7">
        <f>$B13 * IFERROR(VLOOKUP("buildings|NOx|Non-fatal heart attacks", US_national_yearly!$D:$AM, 13, FALSE) / VLOOKUP("buildings|NOx|Non-fatal heart attacks", US_national_yearly!$D:$AM, 10, FALSE), 1)</f>
        <v>7.0049804640649087E-4</v>
      </c>
      <c r="F13" s="7">
        <f>$B13 * IFERROR(VLOOKUP("buildings|NOx|Non-fatal heart attacks", US_national_yearly!$D:$AM, 14, FALSE) / VLOOKUP("buildings|NOx|Non-fatal heart attacks", US_national_yearly!$D:$AM, 10, FALSE), 1)</f>
        <v>7.1895391313983798E-4</v>
      </c>
      <c r="G13" s="7">
        <f>$B13 * IFERROR(VLOOKUP("buildings|NOx|Non-fatal heart attacks", US_national_yearly!$D:$AM, 15, FALSE) / VLOOKUP("buildings|NOx|Non-fatal heart attacks", US_national_yearly!$D:$AM, 10, FALSE), 1)</f>
        <v>7.3620454970030639E-4</v>
      </c>
      <c r="H13" s="7">
        <f>$B13 * IFERROR(VLOOKUP("buildings|NOx|Non-fatal heart attacks", US_national_yearly!$D:$AM, 16, FALSE) / VLOOKUP("buildings|NOx|Non-fatal heart attacks", US_national_yearly!$D:$AM, 10, FALSE), 1)</f>
        <v>7.5345518626077502E-4</v>
      </c>
      <c r="I13" s="7">
        <f>$B13 * IFERROR(VLOOKUP("buildings|NOx|Non-fatal heart attacks", US_national_yearly!$D:$AM, 17, FALSE) / VLOOKUP("buildings|NOx|Non-fatal heart attacks", US_national_yearly!$D:$AM, 10, FALSE), 1)</f>
        <v>7.6706469845274814E-4</v>
      </c>
      <c r="J13" s="7">
        <f>$B13 * IFERROR(VLOOKUP("buildings|NOx|Non-fatal heart attacks", US_national_yearly!$D:$AM, 18, FALSE) / VLOOKUP("buildings|NOx|Non-fatal heart attacks", US_national_yearly!$D:$AM, 10, FALSE), 1)</f>
        <v>7.8067421064472126E-4</v>
      </c>
      <c r="K13" s="7">
        <f>$B13 * IFERROR(VLOOKUP("buildings|NOx|Non-fatal heart attacks", US_national_yearly!$D:$AM, 19, FALSE) / VLOOKUP("buildings|NOx|Non-fatal heart attacks", US_national_yearly!$D:$AM, 10, FALSE), 1)</f>
        <v>7.942837228366947E-4</v>
      </c>
      <c r="L13" s="7">
        <f>$B13 * IFERROR(VLOOKUP("buildings|NOx|Non-fatal heart attacks", US_national_yearly!$D:$AM, 20, FALSE) / VLOOKUP("buildings|NOx|Non-fatal heart attacks", US_national_yearly!$D:$AM, 10, FALSE), 1)</f>
        <v>8.0789323502866738E-4</v>
      </c>
      <c r="M13" s="7">
        <f>$B13 * IFERROR(VLOOKUP("buildings|NOx|Non-fatal heart attacks", US_national_yearly!$D:$AM, 21, FALSE) / VLOOKUP("buildings|NOx|Non-fatal heart attacks", US_national_yearly!$D:$AM, 10, FALSE), 1)</f>
        <v>8.2150274722064083E-4</v>
      </c>
      <c r="N13" s="7">
        <f>$B13 * IFERROR(VLOOKUP("buildings|NOx|Non-fatal heart attacks", US_national_yearly!$D:$AM, 22, FALSE) / VLOOKUP("buildings|NOx|Non-fatal heart attacks", US_national_yearly!$D:$AM, 10, FALSE), 1)</f>
        <v>8.2969336421691992E-4</v>
      </c>
      <c r="O13" s="7">
        <f>$B13 * IFERROR(VLOOKUP("buildings|NOx|Non-fatal heart attacks", US_national_yearly!$D:$AM, 23, FALSE) / VLOOKUP("buildings|NOx|Non-fatal heart attacks", US_national_yearly!$D:$AM, 10, FALSE), 1)</f>
        <v>8.3788398121319879E-4</v>
      </c>
      <c r="P13" s="7">
        <f>$B13 * IFERROR(VLOOKUP("buildings|NOx|Non-fatal heart attacks", US_national_yearly!$D:$AM, 24, FALSE) / VLOOKUP("buildings|NOx|Non-fatal heart attacks", US_national_yearly!$D:$AM, 10, FALSE), 1)</f>
        <v>8.4607459820947787E-4</v>
      </c>
      <c r="Q13" s="7">
        <f>$B13 * IFERROR(VLOOKUP("buildings|NOx|Non-fatal heart attacks", US_national_yearly!$D:$AM, 25, FALSE) / VLOOKUP("buildings|NOx|Non-fatal heart attacks", US_national_yearly!$D:$AM, 10, FALSE), 1)</f>
        <v>8.5426521520575696E-4</v>
      </c>
      <c r="R13" s="7">
        <f>$B13 * IFERROR(VLOOKUP("buildings|NOx|Non-fatal heart attacks", US_national_yearly!$D:$AM, 26, FALSE) / VLOOKUP("buildings|NOx|Non-fatal heart attacks", US_national_yearly!$D:$AM, 10, FALSE), 1)</f>
        <v>8.6245583220203583E-4</v>
      </c>
      <c r="S13" s="7">
        <f>$B13 * IFERROR(VLOOKUP("buildings|NOx|Non-fatal heart attacks", US_national_yearly!$D:$AM, 27, FALSE) / VLOOKUP("buildings|NOx|Non-fatal heart attacks", US_national_yearly!$D:$AM, 10, FALSE), 1)</f>
        <v>8.6617796988431401E-4</v>
      </c>
      <c r="T13" s="7">
        <f>$B13 * IFERROR(VLOOKUP("buildings|NOx|Non-fatal heart attacks", US_national_yearly!$D:$AM, 28, FALSE) / VLOOKUP("buildings|NOx|Non-fatal heart attacks", US_national_yearly!$D:$AM, 10, FALSE), 1)</f>
        <v>8.6990010756659241E-4</v>
      </c>
      <c r="U13" s="7">
        <f>$B13 * IFERROR(VLOOKUP("buildings|NOx|Non-fatal heart attacks", US_national_yearly!$D:$AM, 29, FALSE) / VLOOKUP("buildings|NOx|Non-fatal heart attacks", US_national_yearly!$D:$AM, 10, FALSE), 1)</f>
        <v>8.7362224524887048E-4</v>
      </c>
      <c r="V13" s="7">
        <f>$B13 * IFERROR(VLOOKUP("buildings|NOx|Non-fatal heart attacks", US_national_yearly!$D:$AM, 30, FALSE) / VLOOKUP("buildings|NOx|Non-fatal heart attacks", US_national_yearly!$D:$AM, 10, FALSE), 1)</f>
        <v>8.7734438293114855E-4</v>
      </c>
      <c r="W13" s="7">
        <f>$B13 * IFERROR(VLOOKUP("buildings|NOx|Non-fatal heart attacks", US_national_yearly!$D:$AM, 31, FALSE) / VLOOKUP("buildings|NOx|Non-fatal heart attacks", US_national_yearly!$D:$AM, 10, FALSE), 1)</f>
        <v>8.8106652061342684E-4</v>
      </c>
      <c r="X13" s="7">
        <f>$B13 * IFERROR(VLOOKUP("buildings|NOx|Non-fatal heart attacks", US_national_yearly!$D:$AM, 32, FALSE) / VLOOKUP("buildings|NOx|Non-fatal heart attacks", US_national_yearly!$D:$AM, 10, FALSE), 1)</f>
        <v>8.8355632762362102E-4</v>
      </c>
      <c r="Y13" s="7">
        <f>$B13 * IFERROR(VLOOKUP("buildings|NOx|Non-fatal heart attacks", US_national_yearly!$D:$AM, 33, FALSE) / VLOOKUP("buildings|NOx|Non-fatal heart attacks", US_national_yearly!$D:$AM, 10, FALSE), 1)</f>
        <v>8.860461346338152E-4</v>
      </c>
      <c r="Z13" s="7">
        <f>$B13 * IFERROR(VLOOKUP("buildings|NOx|Non-fatal heart attacks", US_national_yearly!$D:$AM, 34, FALSE) / VLOOKUP("buildings|NOx|Non-fatal heart attacks", US_national_yearly!$D:$AM, 10, FALSE), 1)</f>
        <v>8.885359416440096E-4</v>
      </c>
      <c r="AA13" s="7">
        <f>$B13 * IFERROR(VLOOKUP("buildings|NOx|Non-fatal heart attacks", US_national_yearly!$D:$AM, 35, FALSE) / VLOOKUP("buildings|NOx|Non-fatal heart attacks", US_national_yearly!$D:$AM, 10, FALSE), 1)</f>
        <v>8.9102574865420378E-4</v>
      </c>
      <c r="AB13" s="7">
        <f>$B13 * IFERROR(VLOOKUP("buildings|NOx|Non-fatal heart attacks", US_national_yearly!$D:$AM, 36, FALSE) / VLOOKUP("buildings|NOx|Non-fatal heart attacks", US_national_yearly!$D:$AM, 10, FALSE), 1)</f>
        <v>8.9351555566439796E-4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0.51561293667835306</v>
      </c>
      <c r="C14" s="7">
        <f>$B14 * IFERROR(VLOOKUP("buildings|NOx|Minor restricted activity days", US_national_yearly!$D:$AM, 11, FALSE) / VLOOKUP("buildings|NOx|Minor restricted activity days", US_national_yearly!$D:$AM, 10, FALSE), 1)</f>
        <v>0.516413046017275</v>
      </c>
      <c r="D14" s="7">
        <f>$B14 * IFERROR(VLOOKUP("buildings|NOx|Minor restricted activity days", US_national_yearly!$D:$AM, 12, FALSE) / VLOOKUP("buildings|NOx|Minor restricted activity days", US_national_yearly!$D:$AM, 10, FALSE), 1)</f>
        <v>0.51721315535619694</v>
      </c>
      <c r="E14" s="7">
        <f>$B14 * IFERROR(VLOOKUP("buildings|NOx|Minor restricted activity days", US_national_yearly!$D:$AM, 13, FALSE) / VLOOKUP("buildings|NOx|Minor restricted activity days", US_national_yearly!$D:$AM, 10, FALSE), 1)</f>
        <v>0.51801326469511888</v>
      </c>
      <c r="F14" s="7">
        <f>$B14 * IFERROR(VLOOKUP("buildings|NOx|Minor restricted activity days", US_national_yearly!$D:$AM, 14, FALSE) / VLOOKUP("buildings|NOx|Minor restricted activity days", US_national_yearly!$D:$AM, 10, FALSE), 1)</f>
        <v>0.51881337403404082</v>
      </c>
      <c r="G14" s="7">
        <f>$B14 * IFERROR(VLOOKUP("buildings|NOx|Minor restricted activity days", US_national_yearly!$D:$AM, 15, FALSE) / VLOOKUP("buildings|NOx|Minor restricted activity days", US_national_yearly!$D:$AM, 10, FALSE), 1)</f>
        <v>0.52025077184985791</v>
      </c>
      <c r="H14" s="7">
        <f>$B14 * IFERROR(VLOOKUP("buildings|NOx|Minor restricted activity days", US_national_yearly!$D:$AM, 16, FALSE) / VLOOKUP("buildings|NOx|Minor restricted activity days", US_national_yearly!$D:$AM, 10, FALSE), 1)</f>
        <v>0.52168816966567511</v>
      </c>
      <c r="I14" s="7">
        <f>$B14 * IFERROR(VLOOKUP("buildings|NOx|Minor restricted activity days", US_national_yearly!$D:$AM, 17, FALSE) / VLOOKUP("buildings|NOx|Minor restricted activity days", US_national_yearly!$D:$AM, 10, FALSE), 1)</f>
        <v>0.52449068531485166</v>
      </c>
      <c r="J14" s="7">
        <f>$B14 * IFERROR(VLOOKUP("buildings|NOx|Minor restricted activity days", US_national_yearly!$D:$AM, 18, FALSE) / VLOOKUP("buildings|NOx|Minor restricted activity days", US_national_yearly!$D:$AM, 10, FALSE), 1)</f>
        <v>0.5272932009640281</v>
      </c>
      <c r="K14" s="7">
        <f>$B14 * IFERROR(VLOOKUP("buildings|NOx|Minor restricted activity days", US_national_yearly!$D:$AM, 19, FALSE) / VLOOKUP("buildings|NOx|Minor restricted activity days", US_national_yearly!$D:$AM, 10, FALSE), 1)</f>
        <v>0.53009571661320465</v>
      </c>
      <c r="L14" s="7">
        <f>$B14 * IFERROR(VLOOKUP("buildings|NOx|Minor restricted activity days", US_national_yearly!$D:$AM, 20, FALSE) / VLOOKUP("buildings|NOx|Minor restricted activity days", US_national_yearly!$D:$AM, 10, FALSE), 1)</f>
        <v>0.5328982322623812</v>
      </c>
      <c r="M14" s="7">
        <f>$B14 * IFERROR(VLOOKUP("buildings|NOx|Minor restricted activity days", US_national_yearly!$D:$AM, 21, FALSE) / VLOOKUP("buildings|NOx|Minor restricted activity days", US_national_yearly!$D:$AM, 10, FALSE), 1)</f>
        <v>0.53570074791155764</v>
      </c>
      <c r="N14" s="7">
        <f>$B14 * IFERROR(VLOOKUP("buildings|NOx|Minor restricted activity days", US_national_yearly!$D:$AM, 22, FALSE) / VLOOKUP("buildings|NOx|Minor restricted activity days", US_national_yearly!$D:$AM, 10, FALSE), 1)</f>
        <v>0.53971005001826333</v>
      </c>
      <c r="O14" s="7">
        <f>$B14 * IFERROR(VLOOKUP("buildings|NOx|Minor restricted activity days", US_national_yearly!$D:$AM, 23, FALSE) / VLOOKUP("buildings|NOx|Minor restricted activity days", US_national_yearly!$D:$AM, 10, FALSE), 1)</f>
        <v>0.5437193521249688</v>
      </c>
      <c r="P14" s="7">
        <f>$B14 * IFERROR(VLOOKUP("buildings|NOx|Minor restricted activity days", US_national_yearly!$D:$AM, 24, FALSE) / VLOOKUP("buildings|NOx|Minor restricted activity days", US_national_yearly!$D:$AM, 10, FALSE), 1)</f>
        <v>0.54772865423167438</v>
      </c>
      <c r="Q14" s="7">
        <f>$B14 * IFERROR(VLOOKUP("buildings|NOx|Minor restricted activity days", US_national_yearly!$D:$AM, 25, FALSE) / VLOOKUP("buildings|NOx|Minor restricted activity days", US_national_yearly!$D:$AM, 10, FALSE), 1)</f>
        <v>0.55173795633837985</v>
      </c>
      <c r="R14" s="7">
        <f>$B14 * IFERROR(VLOOKUP("buildings|NOx|Minor restricted activity days", US_national_yearly!$D:$AM, 26, FALSE) / VLOOKUP("buildings|NOx|Minor restricted activity days", US_national_yearly!$D:$AM, 10, FALSE), 1)</f>
        <v>0.55574725844508543</v>
      </c>
      <c r="S14" s="7">
        <f>$B14 * IFERROR(VLOOKUP("buildings|NOx|Minor restricted activity days", US_national_yearly!$D:$AM, 27, FALSE) / VLOOKUP("buildings|NOx|Minor restricted activity days", US_national_yearly!$D:$AM, 10, FALSE), 1)</f>
        <v>0.55975540638257226</v>
      </c>
      <c r="T14" s="7">
        <f>$B14 * IFERROR(VLOOKUP("buildings|NOx|Minor restricted activity days", US_national_yearly!$D:$AM, 28, FALSE) / VLOOKUP("buildings|NOx|Minor restricted activity days", US_national_yearly!$D:$AM, 10, FALSE), 1)</f>
        <v>0.5637635543200592</v>
      </c>
      <c r="U14" s="7">
        <f>$B14 * IFERROR(VLOOKUP("buildings|NOx|Minor restricted activity days", US_national_yearly!$D:$AM, 29, FALSE) / VLOOKUP("buildings|NOx|Minor restricted activity days", US_national_yearly!$D:$AM, 10, FALSE), 1)</f>
        <v>0.56777170225754625</v>
      </c>
      <c r="V14" s="7">
        <f>$B14 * IFERROR(VLOOKUP("buildings|NOx|Minor restricted activity days", US_national_yearly!$D:$AM, 30, FALSE) / VLOOKUP("buildings|NOx|Minor restricted activity days", US_national_yearly!$D:$AM, 10, FALSE), 1)</f>
        <v>0.57177985019503308</v>
      </c>
      <c r="W14" s="7">
        <f>$B14 * IFERROR(VLOOKUP("buildings|NOx|Minor restricted activity days", US_national_yearly!$D:$AM, 31, FALSE) / VLOOKUP("buildings|NOx|Minor restricted activity days", US_national_yearly!$D:$AM, 10, FALSE), 1)</f>
        <v>0.57578799813252002</v>
      </c>
      <c r="X14" s="7">
        <f>$B14 * IFERROR(VLOOKUP("buildings|NOx|Minor restricted activity days", US_national_yearly!$D:$AM, 32, FALSE) / VLOOKUP("buildings|NOx|Minor restricted activity days", US_national_yearly!$D:$AM, 10, FALSE), 1)</f>
        <v>0.5791778534854819</v>
      </c>
      <c r="Y14" s="7">
        <f>$B14 * IFERROR(VLOOKUP("buildings|NOx|Minor restricted activity days", US_national_yearly!$D:$AM, 33, FALSE) / VLOOKUP("buildings|NOx|Minor restricted activity days", US_national_yearly!$D:$AM, 10, FALSE), 1)</f>
        <v>0.58256770883844389</v>
      </c>
      <c r="Z14" s="7">
        <f>$B14 * IFERROR(VLOOKUP("buildings|NOx|Minor restricted activity days", US_national_yearly!$D:$AM, 34, FALSE) / VLOOKUP("buildings|NOx|Minor restricted activity days", US_national_yearly!$D:$AM, 10, FALSE), 1)</f>
        <v>0.58595756419140566</v>
      </c>
      <c r="AA14" s="7">
        <f>$B14 * IFERROR(VLOOKUP("buildings|NOx|Minor restricted activity days", US_national_yearly!$D:$AM, 35, FALSE) / VLOOKUP("buildings|NOx|Minor restricted activity days", US_national_yearly!$D:$AM, 10, FALSE), 1)</f>
        <v>0.58934741954436765</v>
      </c>
      <c r="AB14" s="7">
        <f>$B14 * IFERROR(VLOOKUP("buildings|NOx|Minor restricted activity days", US_national_yearly!$D:$AM, 36, FALSE) / VLOOKUP("buildings|NOx|Minor restricted activity days", US_national_yearly!$D:$AM, 10, FALSE), 1)</f>
        <v>0.59273727489732952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8.7432363374839478E-2</v>
      </c>
      <c r="C15" s="7">
        <f>$B15 * IFERROR(VLOOKUP("buildings|NOx|Work loss days", US_national_yearly!$D:$AM, 11, FALSE) / VLOOKUP("buildings|NOx|Work loss days", US_national_yearly!$D:$AM, 10, FALSE), 1)</f>
        <v>8.7628363569320536E-2</v>
      </c>
      <c r="D15" s="7">
        <f>$B15 * IFERROR(VLOOKUP("buildings|NOx|Work loss days", US_national_yearly!$D:$AM, 12, FALSE) / VLOOKUP("buildings|NOx|Work loss days", US_national_yearly!$D:$AM, 10, FALSE), 1)</f>
        <v>8.7824363763801566E-2</v>
      </c>
      <c r="E15" s="7">
        <f>$B15 * IFERROR(VLOOKUP("buildings|NOx|Work loss days", US_national_yearly!$D:$AM, 13, FALSE) / VLOOKUP("buildings|NOx|Work loss days", US_national_yearly!$D:$AM, 10, FALSE), 1)</f>
        <v>8.802036395828261E-2</v>
      </c>
      <c r="F15" s="7">
        <f>$B15 * IFERROR(VLOOKUP("buildings|NOx|Work loss days", US_national_yearly!$D:$AM, 14, FALSE) / VLOOKUP("buildings|NOx|Work loss days", US_national_yearly!$D:$AM, 10, FALSE), 1)</f>
        <v>8.8216364152763668E-2</v>
      </c>
      <c r="G15" s="7">
        <f>$B15 * IFERROR(VLOOKUP("buildings|NOx|Work loss days", US_national_yearly!$D:$AM, 15, FALSE) / VLOOKUP("buildings|NOx|Work loss days", US_national_yearly!$D:$AM, 10, FALSE), 1)</f>
        <v>8.8501860410604344E-2</v>
      </c>
      <c r="H15" s="7">
        <f>$B15 * IFERROR(VLOOKUP("buildings|NOx|Work loss days", US_national_yearly!$D:$AM, 16, FALSE) / VLOOKUP("buildings|NOx|Work loss days", US_national_yearly!$D:$AM, 10, FALSE), 1)</f>
        <v>8.8787356668445033E-2</v>
      </c>
      <c r="I15" s="7">
        <f>$B15 * IFERROR(VLOOKUP("buildings|NOx|Work loss days", US_national_yearly!$D:$AM, 17, FALSE) / VLOOKUP("buildings|NOx|Work loss days", US_national_yearly!$D:$AM, 10, FALSE), 1)</f>
        <v>8.9249090171082374E-2</v>
      </c>
      <c r="J15" s="7">
        <f>$B15 * IFERROR(VLOOKUP("buildings|NOx|Work loss days", US_national_yearly!$D:$AM, 18, FALSE) / VLOOKUP("buildings|NOx|Work loss days", US_national_yearly!$D:$AM, 10, FALSE), 1)</f>
        <v>8.9710823673719714E-2</v>
      </c>
      <c r="K15" s="7">
        <f>$B15 * IFERROR(VLOOKUP("buildings|NOx|Work loss days", US_national_yearly!$D:$AM, 19, FALSE) / VLOOKUP("buildings|NOx|Work loss days", US_national_yearly!$D:$AM, 10, FALSE), 1)</f>
        <v>9.0172557176357068E-2</v>
      </c>
      <c r="L15" s="7">
        <f>$B15 * IFERROR(VLOOKUP("buildings|NOx|Work loss days", US_national_yearly!$D:$AM, 20, FALSE) / VLOOKUP("buildings|NOx|Work loss days", US_national_yearly!$D:$AM, 10, FALSE), 1)</f>
        <v>9.0634290678994422E-2</v>
      </c>
      <c r="M15" s="7">
        <f>$B15 * IFERROR(VLOOKUP("buildings|NOx|Work loss days", US_national_yearly!$D:$AM, 21, FALSE) / VLOOKUP("buildings|NOx|Work loss days", US_national_yearly!$D:$AM, 10, FALSE), 1)</f>
        <v>9.1096024181631749E-2</v>
      </c>
      <c r="N15" s="7">
        <f>$B15 * IFERROR(VLOOKUP("buildings|NOx|Work loss days", US_national_yearly!$D:$AM, 22, FALSE) / VLOOKUP("buildings|NOx|Work loss days", US_national_yearly!$D:$AM, 10, FALSE), 1)</f>
        <v>9.1696740230184898E-2</v>
      </c>
      <c r="O15" s="7">
        <f>$B15 * IFERROR(VLOOKUP("buildings|NOx|Work loss days", US_national_yearly!$D:$AM, 23, FALSE) / VLOOKUP("buildings|NOx|Work loss days", US_national_yearly!$D:$AM, 10, FALSE), 1)</f>
        <v>9.2297456278738033E-2</v>
      </c>
      <c r="P15" s="7">
        <f>$B15 * IFERROR(VLOOKUP("buildings|NOx|Work loss days", US_national_yearly!$D:$AM, 24, FALSE) / VLOOKUP("buildings|NOx|Work loss days", US_national_yearly!$D:$AM, 10, FALSE), 1)</f>
        <v>9.2898172327291167E-2</v>
      </c>
      <c r="Q15" s="7">
        <f>$B15 * IFERROR(VLOOKUP("buildings|NOx|Work loss days", US_national_yearly!$D:$AM, 25, FALSE) / VLOOKUP("buildings|NOx|Work loss days", US_national_yearly!$D:$AM, 10, FALSE), 1)</f>
        <v>9.349888837584433E-2</v>
      </c>
      <c r="R15" s="7">
        <f>$B15 * IFERROR(VLOOKUP("buildings|NOx|Work loss days", US_national_yearly!$D:$AM, 26, FALSE) / VLOOKUP("buildings|NOx|Work loss days", US_national_yearly!$D:$AM, 10, FALSE), 1)</f>
        <v>9.4099604424397465E-2</v>
      </c>
      <c r="S15" s="7">
        <f>$B15 * IFERROR(VLOOKUP("buildings|NOx|Work loss days", US_national_yearly!$D:$AM, 27, FALSE) / VLOOKUP("buildings|NOx|Work loss days", US_national_yearly!$D:$AM, 10, FALSE), 1)</f>
        <v>9.476899718581859E-2</v>
      </c>
      <c r="T15" s="7">
        <f>$B15 * IFERROR(VLOOKUP("buildings|NOx|Work loss days", US_national_yearly!$D:$AM, 28, FALSE) / VLOOKUP("buildings|NOx|Work loss days", US_national_yearly!$D:$AM, 10, FALSE), 1)</f>
        <v>9.5438389947239743E-2</v>
      </c>
      <c r="U15" s="7">
        <f>$B15 * IFERROR(VLOOKUP("buildings|NOx|Work loss days", US_national_yearly!$D:$AM, 29, FALSE) / VLOOKUP("buildings|NOx|Work loss days", US_national_yearly!$D:$AM, 10, FALSE), 1)</f>
        <v>9.6107782708660869E-2</v>
      </c>
      <c r="V15" s="7">
        <f>$B15 * IFERROR(VLOOKUP("buildings|NOx|Work loss days", US_national_yearly!$D:$AM, 30, FALSE) / VLOOKUP("buildings|NOx|Work loss days", US_national_yearly!$D:$AM, 10, FALSE), 1)</f>
        <v>9.6777175470081994E-2</v>
      </c>
      <c r="W15" s="7">
        <f>$B15 * IFERROR(VLOOKUP("buildings|NOx|Work loss days", US_national_yearly!$D:$AM, 31, FALSE) / VLOOKUP("buildings|NOx|Work loss days", US_national_yearly!$D:$AM, 10, FALSE), 1)</f>
        <v>9.744656823150312E-2</v>
      </c>
      <c r="X15" s="7">
        <f>$B15 * IFERROR(VLOOKUP("buildings|NOx|Work loss days", US_national_yearly!$D:$AM, 32, FALSE) / VLOOKUP("buildings|NOx|Work loss days", US_national_yearly!$D:$AM, 10, FALSE), 1)</f>
        <v>9.8027741009484567E-2</v>
      </c>
      <c r="Y15" s="7">
        <f>$B15 * IFERROR(VLOOKUP("buildings|NOx|Work loss days", US_national_yearly!$D:$AM, 33, FALSE) / VLOOKUP("buildings|NOx|Work loss days", US_national_yearly!$D:$AM, 10, FALSE), 1)</f>
        <v>9.8608913787466029E-2</v>
      </c>
      <c r="Z15" s="7">
        <f>$B15 * IFERROR(VLOOKUP("buildings|NOx|Work loss days", US_national_yearly!$D:$AM, 34, FALSE) / VLOOKUP("buildings|NOx|Work loss days", US_national_yearly!$D:$AM, 10, FALSE), 1)</f>
        <v>9.9190086565447491E-2</v>
      </c>
      <c r="AA15" s="7">
        <f>$B15 * IFERROR(VLOOKUP("buildings|NOx|Work loss days", US_national_yearly!$D:$AM, 35, FALSE) / VLOOKUP("buildings|NOx|Work loss days", US_national_yearly!$D:$AM, 10, FALSE), 1)</f>
        <v>9.9771259343428939E-2</v>
      </c>
      <c r="AB15" s="7">
        <f>$B15 * IFERROR(VLOOKUP("buildings|NOx|Work loss days", US_national_yearly!$D:$AM, 36, FALSE) / VLOOKUP("buildings|NOx|Work loss days", US_national_yearly!$D:$AM, 10, FALSE), 1)</f>
        <v>0.1003524321214104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1.6654518065696265E-4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1.7144162376734988E-4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1.7633806687773716E-4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1.8123450998812438E-4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1.8613095309851163E-4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1.9078248499883321E-4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1.9543401689915479E-4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1.9934782174669757E-4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2.032616265942403E-4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2.0717543144178302E-4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2.1108923628932575E-4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2.1500304113686842E-4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2.1745125976164556E-4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2.1989947838642259E-4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2.2234769701119967E-4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2.2479591563597675E-4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2.2724413426075378E-4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2.2836279500947201E-4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2.2948145575819021E-4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2.3060011650690844E-4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2.3171877725562665E-4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2.3283743800434488E-4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2.334609682107513E-4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2.3408449841715777E-4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2.3470802862356419E-4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2.3533155882997066E-4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2.3595508903637708E-4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3.5570672308695979E-3</v>
      </c>
      <c r="C2" s="7">
        <f>$B2 * IFERROR(VLOOKUP("buildings|SO2|Premature mortality", US_national_yearly!$D:$AM, 11, FALSE) / VLOOKUP("buildings|SO2|Premature mortality", US_national_yearly!$D:$AM, 10, FALSE), 1)</f>
        <v>3.6021296234734716E-3</v>
      </c>
      <c r="D2" s="7">
        <f>$B2 * IFERROR(VLOOKUP("buildings|SO2|Premature mortality", US_national_yearly!$D:$AM, 12, FALSE) / VLOOKUP("buildings|SO2|Premature mortality", US_national_yearly!$D:$AM, 10, FALSE), 1)</f>
        <v>3.6471920160773444E-3</v>
      </c>
      <c r="E2" s="7">
        <f>$B2 * IFERROR(VLOOKUP("buildings|SO2|Premature mortality", US_national_yearly!$D:$AM, 13, FALSE) / VLOOKUP("buildings|SO2|Premature mortality", US_national_yearly!$D:$AM, 10, FALSE), 1)</f>
        <v>3.6922544086812181E-3</v>
      </c>
      <c r="F2" s="7">
        <f>$B2 * IFERROR(VLOOKUP("buildings|SO2|Premature mortality", US_national_yearly!$D:$AM, 14, FALSE) / VLOOKUP("buildings|SO2|Premature mortality", US_national_yearly!$D:$AM, 10, FALSE), 1)</f>
        <v>3.7373168012850917E-3</v>
      </c>
      <c r="G2" s="7">
        <f>$B2 * IFERROR(VLOOKUP("buildings|SO2|Premature mortality", US_national_yearly!$D:$AM, 15, FALSE) / VLOOKUP("buildings|SO2|Premature mortality", US_national_yearly!$D:$AM, 10, FALSE), 1)</f>
        <v>3.8241428883510268E-3</v>
      </c>
      <c r="H2" s="7">
        <f>$B2 * IFERROR(VLOOKUP("buildings|SO2|Premature mortality", US_national_yearly!$D:$AM, 16, FALSE) / VLOOKUP("buildings|SO2|Premature mortality", US_national_yearly!$D:$AM, 10, FALSE), 1)</f>
        <v>3.9109689754169624E-3</v>
      </c>
      <c r="I2" s="7">
        <f>$B2 * IFERROR(VLOOKUP("buildings|SO2|Premature mortality", US_national_yearly!$D:$AM, 17, FALSE) / VLOOKUP("buildings|SO2|Premature mortality", US_national_yearly!$D:$AM, 10, FALSE), 1)</f>
        <v>3.9683778854704178E-3</v>
      </c>
      <c r="J2" s="7">
        <f>$B2 * IFERROR(VLOOKUP("buildings|SO2|Premature mortality", US_national_yearly!$D:$AM, 18, FALSE) / VLOOKUP("buildings|SO2|Premature mortality", US_national_yearly!$D:$AM, 10, FALSE), 1)</f>
        <v>4.0257867955238724E-3</v>
      </c>
      <c r="K2" s="7">
        <f>$B2 * IFERROR(VLOOKUP("buildings|SO2|Premature mortality", US_national_yearly!$D:$AM, 19, FALSE) / VLOOKUP("buildings|SO2|Premature mortality", US_national_yearly!$D:$AM, 10, FALSE), 1)</f>
        <v>4.0831957055773279E-3</v>
      </c>
      <c r="L2" s="7">
        <f>$B2 * IFERROR(VLOOKUP("buildings|SO2|Premature mortality", US_national_yearly!$D:$AM, 20, FALSE) / VLOOKUP("buildings|SO2|Premature mortality", US_national_yearly!$D:$AM, 10, FALSE), 1)</f>
        <v>4.1406046156307824E-3</v>
      </c>
      <c r="M2" s="7">
        <f>$B2 * IFERROR(VLOOKUP("buildings|SO2|Premature mortality", US_national_yearly!$D:$AM, 21, FALSE) / VLOOKUP("buildings|SO2|Premature mortality", US_national_yearly!$D:$AM, 10, FALSE), 1)</f>
        <v>4.1980135256842379E-3</v>
      </c>
      <c r="N2" s="7">
        <f>$B2 * IFERROR(VLOOKUP("buildings|SO2|Premature mortality", US_national_yearly!$D:$AM, 22, FALSE) / VLOOKUP("buildings|SO2|Premature mortality", US_national_yearly!$D:$AM, 10, FALSE), 1)</f>
        <v>4.242859349688515E-3</v>
      </c>
      <c r="O2" s="7">
        <f>$B2 * IFERROR(VLOOKUP("buildings|SO2|Premature mortality", US_national_yearly!$D:$AM, 23, FALSE) / VLOOKUP("buildings|SO2|Premature mortality", US_national_yearly!$D:$AM, 10, FALSE), 1)</f>
        <v>4.2877051736927895E-3</v>
      </c>
      <c r="P2" s="7">
        <f>$B2 * IFERROR(VLOOKUP("buildings|SO2|Premature mortality", US_national_yearly!$D:$AM, 24, FALSE) / VLOOKUP("buildings|SO2|Premature mortality", US_national_yearly!$D:$AM, 10, FALSE), 1)</f>
        <v>4.3325509976970657E-3</v>
      </c>
      <c r="Q2" s="7">
        <f>$B2 * IFERROR(VLOOKUP("buildings|SO2|Premature mortality", US_national_yearly!$D:$AM, 25, FALSE) / VLOOKUP("buildings|SO2|Premature mortality", US_national_yearly!$D:$AM, 10, FALSE), 1)</f>
        <v>4.3773968217013411E-3</v>
      </c>
      <c r="R2" s="7">
        <f>$B2 * IFERROR(VLOOKUP("buildings|SO2|Premature mortality", US_national_yearly!$D:$AM, 26, FALSE) / VLOOKUP("buildings|SO2|Premature mortality", US_national_yearly!$D:$AM, 10, FALSE), 1)</f>
        <v>4.4222426457056173E-3</v>
      </c>
      <c r="S2" s="7">
        <f>$B2 * IFERROR(VLOOKUP("buildings|SO2|Premature mortality", US_national_yearly!$D:$AM, 27, FALSE) / VLOOKUP("buildings|SO2|Premature mortality", US_national_yearly!$D:$AM, 10, FALSE), 1)</f>
        <v>4.4462446426161767E-3</v>
      </c>
      <c r="T2" s="7">
        <f>$B2 * IFERROR(VLOOKUP("buildings|SO2|Premature mortality", US_national_yearly!$D:$AM, 28, FALSE) / VLOOKUP("buildings|SO2|Premature mortality", US_national_yearly!$D:$AM, 10, FALSE), 1)</f>
        <v>4.470246639526736E-3</v>
      </c>
      <c r="U2" s="7">
        <f>$B2 * IFERROR(VLOOKUP("buildings|SO2|Premature mortality", US_national_yearly!$D:$AM, 29, FALSE) / VLOOKUP("buildings|SO2|Premature mortality", US_national_yearly!$D:$AM, 10, FALSE), 1)</f>
        <v>4.4942486364372954E-3</v>
      </c>
      <c r="V2" s="7">
        <f>$B2 * IFERROR(VLOOKUP("buildings|SO2|Premature mortality", US_national_yearly!$D:$AM, 30, FALSE) / VLOOKUP("buildings|SO2|Premature mortality", US_national_yearly!$D:$AM, 10, FALSE), 1)</f>
        <v>4.5182506333478548E-3</v>
      </c>
      <c r="W2" s="7">
        <f>$B2 * IFERROR(VLOOKUP("buildings|SO2|Premature mortality", US_national_yearly!$D:$AM, 31, FALSE) / VLOOKUP("buildings|SO2|Premature mortality", US_national_yearly!$D:$AM, 10, FALSE), 1)</f>
        <v>4.5422526302584141E-3</v>
      </c>
      <c r="X2" s="7">
        <f>$B2 * IFERROR(VLOOKUP("buildings|SO2|Premature mortality", US_national_yearly!$D:$AM, 32, FALSE) / VLOOKUP("buildings|SO2|Premature mortality", US_national_yearly!$D:$AM, 10, FALSE), 1)</f>
        <v>4.5471025927095315E-3</v>
      </c>
      <c r="Y2" s="7">
        <f>$B2 * IFERROR(VLOOKUP("buildings|SO2|Premature mortality", US_national_yearly!$D:$AM, 33, FALSE) / VLOOKUP("buildings|SO2|Premature mortality", US_national_yearly!$D:$AM, 10, FALSE), 1)</f>
        <v>4.551952555160649E-3</v>
      </c>
      <c r="Z2" s="7">
        <f>$B2 * IFERROR(VLOOKUP("buildings|SO2|Premature mortality", US_national_yearly!$D:$AM, 34, FALSE) / VLOOKUP("buildings|SO2|Premature mortality", US_national_yearly!$D:$AM, 10, FALSE), 1)</f>
        <v>4.5568025176117655E-3</v>
      </c>
      <c r="AA2" s="7">
        <f>$B2 * IFERROR(VLOOKUP("buildings|SO2|Premature mortality", US_national_yearly!$D:$AM, 35, FALSE) / VLOOKUP("buildings|SO2|Premature mortality", US_national_yearly!$D:$AM, 10, FALSE), 1)</f>
        <v>4.5616524800628829E-3</v>
      </c>
      <c r="AB2" s="7">
        <f>$B2 * IFERROR(VLOOKUP("buildings|SO2|Premature mortality", US_national_yearly!$D:$AM, 36, FALSE) / VLOOKUP("buildings|SO2|Premature mortality", US_national_yearly!$D:$AM, 10, FALSE), 1)</f>
        <v>4.5665024425140003E-3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9.7363685476353908E-6</v>
      </c>
      <c r="C3" s="7">
        <f>$B3 * IFERROR(VLOOKUP("buildings|SO2|Infant mortality", US_national_yearly!$D:$AM, 11, FALSE) / VLOOKUP("buildings|SO2|Infant mortality", US_national_yearly!$D:$AM, 10, FALSE), 1)</f>
        <v>9.6529141681290252E-6</v>
      </c>
      <c r="D3" s="7">
        <f>$B3 * IFERROR(VLOOKUP("buildings|SO2|Infant mortality", US_national_yearly!$D:$AM, 12, FALSE) / VLOOKUP("buildings|SO2|Infant mortality", US_national_yearly!$D:$AM, 10, FALSE), 1)</f>
        <v>9.5694597886226597E-6</v>
      </c>
      <c r="E3" s="7">
        <f>$B3 * IFERROR(VLOOKUP("buildings|SO2|Infant mortality", US_national_yearly!$D:$AM, 13, FALSE) / VLOOKUP("buildings|SO2|Infant mortality", US_national_yearly!$D:$AM, 10, FALSE), 1)</f>
        <v>9.4860054091162959E-6</v>
      </c>
      <c r="F3" s="7">
        <f>$B3 * IFERROR(VLOOKUP("buildings|SO2|Infant mortality", US_national_yearly!$D:$AM, 14, FALSE) / VLOOKUP("buildings|SO2|Infant mortality", US_national_yearly!$D:$AM, 10, FALSE), 1)</f>
        <v>9.402551029609932E-6</v>
      </c>
      <c r="G3" s="7">
        <f>$B3 * IFERROR(VLOOKUP("buildings|SO2|Infant mortality", US_national_yearly!$D:$AM, 15, FALSE) / VLOOKUP("buildings|SO2|Infant mortality", US_national_yearly!$D:$AM, 10, FALSE), 1)</f>
        <v>6.2617264872688997E-6</v>
      </c>
      <c r="H3" s="7">
        <f>$B3 * IFERROR(VLOOKUP("buildings|SO2|Infant mortality", US_national_yearly!$D:$AM, 16, FALSE) / VLOOKUP("buildings|SO2|Infant mortality", US_national_yearly!$D:$AM, 10, FALSE), 1)</f>
        <v>3.1209019449278677E-6</v>
      </c>
      <c r="I3" s="7">
        <f>$B3 * IFERROR(VLOOKUP("buildings|SO2|Infant mortality", US_national_yearly!$D:$AM, 17, FALSE) / VLOOKUP("buildings|SO2|Infant mortality", US_national_yearly!$D:$AM, 10, FALSE), 1)</f>
        <v>3.1013210614842986E-6</v>
      </c>
      <c r="J3" s="7">
        <f>$B3 * IFERROR(VLOOKUP("buildings|SO2|Infant mortality", US_national_yearly!$D:$AM, 18, FALSE) / VLOOKUP("buildings|SO2|Infant mortality", US_national_yearly!$D:$AM, 10, FALSE), 1)</f>
        <v>3.0817401780407291E-6</v>
      </c>
      <c r="K3" s="7">
        <f>$B3 * IFERROR(VLOOKUP("buildings|SO2|Infant mortality", US_national_yearly!$D:$AM, 19, FALSE) / VLOOKUP("buildings|SO2|Infant mortality", US_national_yearly!$D:$AM, 10, FALSE), 1)</f>
        <v>3.0621592945971599E-6</v>
      </c>
      <c r="L3" s="7">
        <f>$B3 * IFERROR(VLOOKUP("buildings|SO2|Infant mortality", US_national_yearly!$D:$AM, 20, FALSE) / VLOOKUP("buildings|SO2|Infant mortality", US_national_yearly!$D:$AM, 10, FALSE), 1)</f>
        <v>3.0425784111535904E-6</v>
      </c>
      <c r="M3" s="7">
        <f>$B3 * IFERROR(VLOOKUP("buildings|SO2|Infant mortality", US_national_yearly!$D:$AM, 21, FALSE) / VLOOKUP("buildings|SO2|Infant mortality", US_national_yearly!$D:$AM, 10, FALSE), 1)</f>
        <v>3.0229975277100217E-6</v>
      </c>
      <c r="N3" s="7">
        <f>$B3 * IFERROR(VLOOKUP("buildings|SO2|Infant mortality", US_national_yearly!$D:$AM, 22, FALSE) / VLOOKUP("buildings|SO2|Infant mortality", US_national_yearly!$D:$AM, 10, FALSE), 1)</f>
        <v>3.0107223939077797E-6</v>
      </c>
      <c r="O3" s="7">
        <f>$B3 * IFERROR(VLOOKUP("buildings|SO2|Infant mortality", US_national_yearly!$D:$AM, 23, FALSE) / VLOOKUP("buildings|SO2|Infant mortality", US_national_yearly!$D:$AM, 10, FALSE), 1)</f>
        <v>2.9984472601055376E-6</v>
      </c>
      <c r="P3" s="7">
        <f>$B3 * IFERROR(VLOOKUP("buildings|SO2|Infant mortality", US_national_yearly!$D:$AM, 24, FALSE) / VLOOKUP("buildings|SO2|Infant mortality", US_national_yearly!$D:$AM, 10, FALSE), 1)</f>
        <v>2.9861721263032952E-6</v>
      </c>
      <c r="Q3" s="7">
        <f>$B3 * IFERROR(VLOOKUP("buildings|SO2|Infant mortality", US_national_yearly!$D:$AM, 25, FALSE) / VLOOKUP("buildings|SO2|Infant mortality", US_national_yearly!$D:$AM, 10, FALSE), 1)</f>
        <v>2.9738969925010531E-6</v>
      </c>
      <c r="R3" s="7">
        <f>$B3 * IFERROR(VLOOKUP("buildings|SO2|Infant mortality", US_national_yearly!$D:$AM, 26, FALSE) / VLOOKUP("buildings|SO2|Infant mortality", US_national_yearly!$D:$AM, 10, FALSE), 1)</f>
        <v>2.9616218586988111E-6</v>
      </c>
      <c r="S3" s="7">
        <f>$B3 * IFERROR(VLOOKUP("buildings|SO2|Infant mortality", US_national_yearly!$D:$AM, 27, FALSE) / VLOOKUP("buildings|SO2|Infant mortality", US_national_yearly!$D:$AM, 10, FALSE), 1)</f>
        <v>2.9462081822411127E-6</v>
      </c>
      <c r="T3" s="7">
        <f>$B3 * IFERROR(VLOOKUP("buildings|SO2|Infant mortality", US_national_yearly!$D:$AM, 28, FALSE) / VLOOKUP("buildings|SO2|Infant mortality", US_national_yearly!$D:$AM, 10, FALSE), 1)</f>
        <v>2.9307945057834138E-6</v>
      </c>
      <c r="U3" s="7">
        <f>$B3 * IFERROR(VLOOKUP("buildings|SO2|Infant mortality", US_national_yearly!$D:$AM, 29, FALSE) / VLOOKUP("buildings|SO2|Infant mortality", US_national_yearly!$D:$AM, 10, FALSE), 1)</f>
        <v>2.9153808293257154E-6</v>
      </c>
      <c r="V3" s="7">
        <f>$B3 * IFERROR(VLOOKUP("buildings|SO2|Infant mortality", US_national_yearly!$D:$AM, 30, FALSE) / VLOOKUP("buildings|SO2|Infant mortality", US_national_yearly!$D:$AM, 10, FALSE), 1)</f>
        <v>2.8999671528680165E-6</v>
      </c>
      <c r="W3" s="7">
        <f>$B3 * IFERROR(VLOOKUP("buildings|SO2|Infant mortality", US_national_yearly!$D:$AM, 31, FALSE) / VLOOKUP("buildings|SO2|Infant mortality", US_national_yearly!$D:$AM, 10, FALSE), 1)</f>
        <v>2.8845534764103181E-6</v>
      </c>
      <c r="X3" s="7">
        <f>$B3 * IFERROR(VLOOKUP("buildings|SO2|Infant mortality", US_national_yearly!$D:$AM, 32, FALSE) / VLOOKUP("buildings|SO2|Infant mortality", US_national_yearly!$D:$AM, 10, FALSE), 1)</f>
        <v>2.8677192993971457E-6</v>
      </c>
      <c r="Y3" s="7">
        <f>$B3 * IFERROR(VLOOKUP("buildings|SO2|Infant mortality", US_national_yearly!$D:$AM, 33, FALSE) / VLOOKUP("buildings|SO2|Infant mortality", US_national_yearly!$D:$AM, 10, FALSE), 1)</f>
        <v>2.8508851223839733E-6</v>
      </c>
      <c r="Z3" s="7">
        <f>$B3 * IFERROR(VLOOKUP("buildings|SO2|Infant mortality", US_national_yearly!$D:$AM, 34, FALSE) / VLOOKUP("buildings|SO2|Infant mortality", US_national_yearly!$D:$AM, 10, FALSE), 1)</f>
        <v>2.8340509453708013E-6</v>
      </c>
      <c r="AA3" s="7">
        <f>$B3 * IFERROR(VLOOKUP("buildings|SO2|Infant mortality", US_national_yearly!$D:$AM, 35, FALSE) / VLOOKUP("buildings|SO2|Infant mortality", US_national_yearly!$D:$AM, 10, FALSE), 1)</f>
        <v>2.8172167683576285E-6</v>
      </c>
      <c r="AB3" s="7">
        <f>$B3 * IFERROR(VLOOKUP("buildings|SO2|Infant mortality", US_national_yearly!$D:$AM, 36, FALSE) / VLOOKUP("buildings|SO2|Infant mortality", US_national_yearly!$D:$AM, 10, FALSE), 1)</f>
        <v>2.8003825913444565E-6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8.4115577938133658E-3</v>
      </c>
      <c r="C6" s="7">
        <f>$B6 * IFERROR(VLOOKUP("buildings|SO2|Asthma symptoms cough", US_national_yearly!$D:$AM, 11, FALSE) / VLOOKUP("buildings|SO2|Asthma symptoms cough", US_national_yearly!$D:$AM, 10, FALSE), 1)</f>
        <v>8.4115577938133658E-3</v>
      </c>
      <c r="D6" s="7">
        <f>$B6 * IFERROR(VLOOKUP("buildings|SO2|Asthma symptoms cough", US_national_yearly!$D:$AM, 12, FALSE) / VLOOKUP("buildings|SO2|Asthma symptoms cough", US_national_yearly!$D:$AM, 10, FALSE), 1)</f>
        <v>8.4115577938133658E-3</v>
      </c>
      <c r="E6" s="7">
        <f>$B6 * IFERROR(VLOOKUP("buildings|SO2|Asthma symptoms cough", US_national_yearly!$D:$AM, 13, FALSE) / VLOOKUP("buildings|SO2|Asthma symptoms cough", US_national_yearly!$D:$AM, 10, FALSE), 1)</f>
        <v>8.4115577938133658E-3</v>
      </c>
      <c r="F6" s="7">
        <f>$B6 * IFERROR(VLOOKUP("buildings|SO2|Asthma symptoms cough", US_national_yearly!$D:$AM, 14, FALSE) / VLOOKUP("buildings|SO2|Asthma symptoms cough", US_national_yearly!$D:$AM, 10, FALSE), 1)</f>
        <v>8.4115577938133658E-3</v>
      </c>
      <c r="G6" s="7">
        <f>$B6 * IFERROR(VLOOKUP("buildings|SO2|Asthma symptoms cough", US_national_yearly!$D:$AM, 15, FALSE) / VLOOKUP("buildings|SO2|Asthma symptoms cough", US_national_yearly!$D:$AM, 10, FALSE), 1)</f>
        <v>8.4115577938133658E-3</v>
      </c>
      <c r="H6" s="7">
        <f>$B6 * IFERROR(VLOOKUP("buildings|SO2|Asthma symptoms cough", US_national_yearly!$D:$AM, 16, FALSE) / VLOOKUP("buildings|SO2|Asthma symptoms cough", US_national_yearly!$D:$AM, 10, FALSE), 1)</f>
        <v>8.4115577938133658E-3</v>
      </c>
      <c r="I6" s="7">
        <f>$B6 * IFERROR(VLOOKUP("buildings|SO2|Asthma symptoms cough", US_national_yearly!$D:$AM, 17, FALSE) / VLOOKUP("buildings|SO2|Asthma symptoms cough", US_national_yearly!$D:$AM, 10, FALSE), 1)</f>
        <v>8.4115577938133658E-3</v>
      </c>
      <c r="J6" s="7">
        <f>$B6 * IFERROR(VLOOKUP("buildings|SO2|Asthma symptoms cough", US_national_yearly!$D:$AM, 18, FALSE) / VLOOKUP("buildings|SO2|Asthma symptoms cough", US_national_yearly!$D:$AM, 10, FALSE), 1)</f>
        <v>8.4115577938133658E-3</v>
      </c>
      <c r="K6" s="7">
        <f>$B6 * IFERROR(VLOOKUP("buildings|SO2|Asthma symptoms cough", US_national_yearly!$D:$AM, 19, FALSE) / VLOOKUP("buildings|SO2|Asthma symptoms cough", US_national_yearly!$D:$AM, 10, FALSE), 1)</f>
        <v>8.4115577938133658E-3</v>
      </c>
      <c r="L6" s="7">
        <f>$B6 * IFERROR(VLOOKUP("buildings|SO2|Asthma symptoms cough", US_national_yearly!$D:$AM, 20, FALSE) / VLOOKUP("buildings|SO2|Asthma symptoms cough", US_national_yearly!$D:$AM, 10, FALSE), 1)</f>
        <v>8.4115577938133658E-3</v>
      </c>
      <c r="M6" s="7">
        <f>$B6 * IFERROR(VLOOKUP("buildings|SO2|Asthma symptoms cough", US_national_yearly!$D:$AM, 21, FALSE) / VLOOKUP("buildings|SO2|Asthma symptoms cough", US_national_yearly!$D:$AM, 10, FALSE), 1)</f>
        <v>8.4115577938133658E-3</v>
      </c>
      <c r="N6" s="7">
        <f>$B6 * IFERROR(VLOOKUP("buildings|SO2|Asthma symptoms cough", US_national_yearly!$D:$AM, 22, FALSE) / VLOOKUP("buildings|SO2|Asthma symptoms cough", US_national_yearly!$D:$AM, 10, FALSE), 1)</f>
        <v>8.4115577938133658E-3</v>
      </c>
      <c r="O6" s="7">
        <f>$B6 * IFERROR(VLOOKUP("buildings|SO2|Asthma symptoms cough", US_national_yearly!$D:$AM, 23, FALSE) / VLOOKUP("buildings|SO2|Asthma symptoms cough", US_national_yearly!$D:$AM, 10, FALSE), 1)</f>
        <v>8.4115577938133658E-3</v>
      </c>
      <c r="P6" s="7">
        <f>$B6 * IFERROR(VLOOKUP("buildings|SO2|Asthma symptoms cough", US_national_yearly!$D:$AM, 24, FALSE) / VLOOKUP("buildings|SO2|Asthma symptoms cough", US_national_yearly!$D:$AM, 10, FALSE), 1)</f>
        <v>8.4115577938133658E-3</v>
      </c>
      <c r="Q6" s="7">
        <f>$B6 * IFERROR(VLOOKUP("buildings|SO2|Asthma symptoms cough", US_national_yearly!$D:$AM, 25, FALSE) / VLOOKUP("buildings|SO2|Asthma symptoms cough", US_national_yearly!$D:$AM, 10, FALSE), 1)</f>
        <v>8.4115577938133658E-3</v>
      </c>
      <c r="R6" s="7">
        <f>$B6 * IFERROR(VLOOKUP("buildings|SO2|Asthma symptoms cough", US_national_yearly!$D:$AM, 26, FALSE) / VLOOKUP("buildings|SO2|Asthma symptoms cough", US_national_yearly!$D:$AM, 10, FALSE), 1)</f>
        <v>8.4115577938133658E-3</v>
      </c>
      <c r="S6" s="7">
        <f>$B6 * IFERROR(VLOOKUP("buildings|SO2|Asthma symptoms cough", US_national_yearly!$D:$AM, 27, FALSE) / VLOOKUP("buildings|SO2|Asthma symptoms cough", US_national_yearly!$D:$AM, 10, FALSE), 1)</f>
        <v>8.4115577938133658E-3</v>
      </c>
      <c r="T6" s="7">
        <f>$B6 * IFERROR(VLOOKUP("buildings|SO2|Asthma symptoms cough", US_national_yearly!$D:$AM, 28, FALSE) / VLOOKUP("buildings|SO2|Asthma symptoms cough", US_national_yearly!$D:$AM, 10, FALSE), 1)</f>
        <v>8.4115577938133658E-3</v>
      </c>
      <c r="U6" s="7">
        <f>$B6 * IFERROR(VLOOKUP("buildings|SO2|Asthma symptoms cough", US_national_yearly!$D:$AM, 29, FALSE) / VLOOKUP("buildings|SO2|Asthma symptoms cough", US_national_yearly!$D:$AM, 10, FALSE), 1)</f>
        <v>8.4115577938133658E-3</v>
      </c>
      <c r="V6" s="7">
        <f>$B6 * IFERROR(VLOOKUP("buildings|SO2|Asthma symptoms cough", US_national_yearly!$D:$AM, 30, FALSE) / VLOOKUP("buildings|SO2|Asthma symptoms cough", US_national_yearly!$D:$AM, 10, FALSE), 1)</f>
        <v>8.4115577938133658E-3</v>
      </c>
      <c r="W6" s="7">
        <f>$B6 * IFERROR(VLOOKUP("buildings|SO2|Asthma symptoms cough", US_national_yearly!$D:$AM, 31, FALSE) / VLOOKUP("buildings|SO2|Asthma symptoms cough", US_national_yearly!$D:$AM, 10, FALSE), 1)</f>
        <v>8.4115577938133658E-3</v>
      </c>
      <c r="X6" s="7">
        <f>$B6 * IFERROR(VLOOKUP("buildings|SO2|Asthma symptoms cough", US_national_yearly!$D:$AM, 32, FALSE) / VLOOKUP("buildings|SO2|Asthma symptoms cough", US_national_yearly!$D:$AM, 10, FALSE), 1)</f>
        <v>8.4115577938133658E-3</v>
      </c>
      <c r="Y6" s="7">
        <f>$B6 * IFERROR(VLOOKUP("buildings|SO2|Asthma symptoms cough", US_national_yearly!$D:$AM, 33, FALSE) / VLOOKUP("buildings|SO2|Asthma symptoms cough", US_national_yearly!$D:$AM, 10, FALSE), 1)</f>
        <v>8.4115577938133658E-3</v>
      </c>
      <c r="Z6" s="7">
        <f>$B6 * IFERROR(VLOOKUP("buildings|SO2|Asthma symptoms cough", US_national_yearly!$D:$AM, 34, FALSE) / VLOOKUP("buildings|SO2|Asthma symptoms cough", US_national_yearly!$D:$AM, 10, FALSE), 1)</f>
        <v>8.4115577938133658E-3</v>
      </c>
      <c r="AA6" s="7">
        <f>$B6 * IFERROR(VLOOKUP("buildings|SO2|Asthma symptoms cough", US_national_yearly!$D:$AM, 35, FALSE) / VLOOKUP("buildings|SO2|Asthma symptoms cough", US_national_yearly!$D:$AM, 10, FALSE), 1)</f>
        <v>8.4115577938133658E-3</v>
      </c>
      <c r="AB6" s="7">
        <f>$B6 * IFERROR(VLOOKUP("buildings|SO2|Asthma symptoms cough", US_national_yearly!$D:$AM, 36, FALSE) / VLOOKUP("buildings|SO2|Asthma symptoms cough", US_national_yearly!$D:$AM, 10, FALSE), 1)</f>
        <v>8.4115577938133658E-3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1.1327385743020604E-2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1.1327385743020604E-2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1.1327385743020604E-2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1.1327385743020604E-2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1.1327385743020604E-2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1.1327385743020604E-2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1.1327385743020604E-2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1.1327385743020604E-2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1.1327385743020604E-2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1.1327385743020604E-2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1.1327385743020604E-2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1.1327385743020604E-2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1.1327385743020604E-2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1.1327385743020604E-2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1.1327385743020604E-2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1.1327385743020604E-2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1.1327385743020604E-2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1.1327385743020604E-2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1.1327385743020604E-2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1.1327385743020604E-2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1.1327385743020604E-2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1.1327385743020604E-2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1.1327385743020604E-2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1.1327385743020604E-2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1.1327385743020604E-2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1.1327385743020604E-2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1.1327385743020604E-2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1.7306316369474585E-2</v>
      </c>
      <c r="C8" s="7">
        <f>$B8 * IFERROR(VLOOKUP("buildings|SO2|Asthma symptoms wheeze", US_national_yearly!$D:$AM, 11, FALSE) / VLOOKUP("buildings|SO2|Asthma symptoms wheeze", US_national_yearly!$D:$AM, 10, FALSE), 1)</f>
        <v>1.7306316369474585E-2</v>
      </c>
      <c r="D8" s="7">
        <f>$B8 * IFERROR(VLOOKUP("buildings|SO2|Asthma symptoms wheeze", US_national_yearly!$D:$AM, 12, FALSE) / VLOOKUP("buildings|SO2|Asthma symptoms wheeze", US_national_yearly!$D:$AM, 10, FALSE), 1)</f>
        <v>1.7306316369474585E-2</v>
      </c>
      <c r="E8" s="7">
        <f>$B8 * IFERROR(VLOOKUP("buildings|SO2|Asthma symptoms wheeze", US_national_yearly!$D:$AM, 13, FALSE) / VLOOKUP("buildings|SO2|Asthma symptoms wheeze", US_national_yearly!$D:$AM, 10, FALSE), 1)</f>
        <v>1.7306316369474585E-2</v>
      </c>
      <c r="F8" s="7">
        <f>$B8 * IFERROR(VLOOKUP("buildings|SO2|Asthma symptoms wheeze", US_national_yearly!$D:$AM, 14, FALSE) / VLOOKUP("buildings|SO2|Asthma symptoms wheeze", US_national_yearly!$D:$AM, 10, FALSE), 1)</f>
        <v>1.7306316369474585E-2</v>
      </c>
      <c r="G8" s="7">
        <f>$B8 * IFERROR(VLOOKUP("buildings|SO2|Asthma symptoms wheeze", US_national_yearly!$D:$AM, 15, FALSE) / VLOOKUP("buildings|SO2|Asthma symptoms wheeze", US_national_yearly!$D:$AM, 10, FALSE), 1)</f>
        <v>1.7306316369474585E-2</v>
      </c>
      <c r="H8" s="7">
        <f>$B8 * IFERROR(VLOOKUP("buildings|SO2|Asthma symptoms wheeze", US_national_yearly!$D:$AM, 16, FALSE) / VLOOKUP("buildings|SO2|Asthma symptoms wheeze", US_national_yearly!$D:$AM, 10, FALSE), 1)</f>
        <v>1.7306316369474585E-2</v>
      </c>
      <c r="I8" s="7">
        <f>$B8 * IFERROR(VLOOKUP("buildings|SO2|Asthma symptoms wheeze", US_national_yearly!$D:$AM, 17, FALSE) / VLOOKUP("buildings|SO2|Asthma symptoms wheeze", US_national_yearly!$D:$AM, 10, FALSE), 1)</f>
        <v>1.7306316369474585E-2</v>
      </c>
      <c r="J8" s="7">
        <f>$B8 * IFERROR(VLOOKUP("buildings|SO2|Asthma symptoms wheeze", US_national_yearly!$D:$AM, 18, FALSE) / VLOOKUP("buildings|SO2|Asthma symptoms wheeze", US_national_yearly!$D:$AM, 10, FALSE), 1)</f>
        <v>1.7306316369474585E-2</v>
      </c>
      <c r="K8" s="7">
        <f>$B8 * IFERROR(VLOOKUP("buildings|SO2|Asthma symptoms wheeze", US_national_yearly!$D:$AM, 19, FALSE) / VLOOKUP("buildings|SO2|Asthma symptoms wheeze", US_national_yearly!$D:$AM, 10, FALSE), 1)</f>
        <v>1.7306316369474585E-2</v>
      </c>
      <c r="L8" s="7">
        <f>$B8 * IFERROR(VLOOKUP("buildings|SO2|Asthma symptoms wheeze", US_national_yearly!$D:$AM, 20, FALSE) / VLOOKUP("buildings|SO2|Asthma symptoms wheeze", US_national_yearly!$D:$AM, 10, FALSE), 1)</f>
        <v>1.7306316369474585E-2</v>
      </c>
      <c r="M8" s="7">
        <f>$B8 * IFERROR(VLOOKUP("buildings|SO2|Asthma symptoms wheeze", US_national_yearly!$D:$AM, 21, FALSE) / VLOOKUP("buildings|SO2|Asthma symptoms wheeze", US_national_yearly!$D:$AM, 10, FALSE), 1)</f>
        <v>1.7306316369474585E-2</v>
      </c>
      <c r="N8" s="7">
        <f>$B8 * IFERROR(VLOOKUP("buildings|SO2|Asthma symptoms wheeze", US_national_yearly!$D:$AM, 22, FALSE) / VLOOKUP("buildings|SO2|Asthma symptoms wheeze", US_national_yearly!$D:$AM, 10, FALSE), 1)</f>
        <v>1.7306316369474585E-2</v>
      </c>
      <c r="O8" s="7">
        <f>$B8 * IFERROR(VLOOKUP("buildings|SO2|Asthma symptoms wheeze", US_national_yearly!$D:$AM, 23, FALSE) / VLOOKUP("buildings|SO2|Asthma symptoms wheeze", US_national_yearly!$D:$AM, 10, FALSE), 1)</f>
        <v>1.7306316369474585E-2</v>
      </c>
      <c r="P8" s="7">
        <f>$B8 * IFERROR(VLOOKUP("buildings|SO2|Asthma symptoms wheeze", US_national_yearly!$D:$AM, 24, FALSE) / VLOOKUP("buildings|SO2|Asthma symptoms wheeze", US_national_yearly!$D:$AM, 10, FALSE), 1)</f>
        <v>1.7306316369474585E-2</v>
      </c>
      <c r="Q8" s="7">
        <f>$B8 * IFERROR(VLOOKUP("buildings|SO2|Asthma symptoms wheeze", US_national_yearly!$D:$AM, 25, FALSE) / VLOOKUP("buildings|SO2|Asthma symptoms wheeze", US_national_yearly!$D:$AM, 10, FALSE), 1)</f>
        <v>1.7306316369474585E-2</v>
      </c>
      <c r="R8" s="7">
        <f>$B8 * IFERROR(VLOOKUP("buildings|SO2|Asthma symptoms wheeze", US_national_yearly!$D:$AM, 26, FALSE) / VLOOKUP("buildings|SO2|Asthma symptoms wheeze", US_national_yearly!$D:$AM, 10, FALSE), 1)</f>
        <v>1.7306316369474585E-2</v>
      </c>
      <c r="S8" s="7">
        <f>$B8 * IFERROR(VLOOKUP("buildings|SO2|Asthma symptoms wheeze", US_national_yearly!$D:$AM, 27, FALSE) / VLOOKUP("buildings|SO2|Asthma symptoms wheeze", US_national_yearly!$D:$AM, 10, FALSE), 1)</f>
        <v>1.7306316369474585E-2</v>
      </c>
      <c r="T8" s="7">
        <f>$B8 * IFERROR(VLOOKUP("buildings|SO2|Asthma symptoms wheeze", US_national_yearly!$D:$AM, 28, FALSE) / VLOOKUP("buildings|SO2|Asthma symptoms wheeze", US_national_yearly!$D:$AM, 10, FALSE), 1)</f>
        <v>1.7306316369474585E-2</v>
      </c>
      <c r="U8" s="7">
        <f>$B8 * IFERROR(VLOOKUP("buildings|SO2|Asthma symptoms wheeze", US_national_yearly!$D:$AM, 29, FALSE) / VLOOKUP("buildings|SO2|Asthma symptoms wheeze", US_national_yearly!$D:$AM, 10, FALSE), 1)</f>
        <v>1.7306316369474585E-2</v>
      </c>
      <c r="V8" s="7">
        <f>$B8 * IFERROR(VLOOKUP("buildings|SO2|Asthma symptoms wheeze", US_national_yearly!$D:$AM, 30, FALSE) / VLOOKUP("buildings|SO2|Asthma symptoms wheeze", US_national_yearly!$D:$AM, 10, FALSE), 1)</f>
        <v>1.7306316369474585E-2</v>
      </c>
      <c r="W8" s="7">
        <f>$B8 * IFERROR(VLOOKUP("buildings|SO2|Asthma symptoms wheeze", US_national_yearly!$D:$AM, 31, FALSE) / VLOOKUP("buildings|SO2|Asthma symptoms wheeze", US_national_yearly!$D:$AM, 10, FALSE), 1)</f>
        <v>1.7306316369474585E-2</v>
      </c>
      <c r="X8" s="7">
        <f>$B8 * IFERROR(VLOOKUP("buildings|SO2|Asthma symptoms wheeze", US_national_yearly!$D:$AM, 32, FALSE) / VLOOKUP("buildings|SO2|Asthma symptoms wheeze", US_national_yearly!$D:$AM, 10, FALSE), 1)</f>
        <v>1.7306316369474585E-2</v>
      </c>
      <c r="Y8" s="7">
        <f>$B8 * IFERROR(VLOOKUP("buildings|SO2|Asthma symptoms wheeze", US_national_yearly!$D:$AM, 33, FALSE) / VLOOKUP("buildings|SO2|Asthma symptoms wheeze", US_national_yearly!$D:$AM, 10, FALSE), 1)</f>
        <v>1.7306316369474585E-2</v>
      </c>
      <c r="Z8" s="7">
        <f>$B8 * IFERROR(VLOOKUP("buildings|SO2|Asthma symptoms wheeze", US_national_yearly!$D:$AM, 34, FALSE) / VLOOKUP("buildings|SO2|Asthma symptoms wheeze", US_national_yearly!$D:$AM, 10, FALSE), 1)</f>
        <v>1.7306316369474585E-2</v>
      </c>
      <c r="AA8" s="7">
        <f>$B8 * IFERROR(VLOOKUP("buildings|SO2|Asthma symptoms wheeze", US_national_yearly!$D:$AM, 35, FALSE) / VLOOKUP("buildings|SO2|Asthma symptoms wheeze", US_national_yearly!$D:$AM, 10, FALSE), 1)</f>
        <v>1.7306316369474585E-2</v>
      </c>
      <c r="AB8" s="7">
        <f>$B8 * IFERROR(VLOOKUP("buildings|SO2|Asthma symptoms wheeze", US_national_yearly!$D:$AM, 36, FALSE) / VLOOKUP("buildings|SO2|Asthma symptoms wheeze", US_national_yearly!$D:$AM, 10, FALSE), 1)</f>
        <v>1.7306316369474585E-2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2.4249482778161802E-4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2.4392709511494024E-4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2.4535936244826244E-4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2.4679162978158463E-4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2.4822389711490683E-4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2.4978488806259608E-4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2.5134587901028539E-4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2.5288206631165648E-4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2.5441825361302762E-4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2.5595444091439871E-4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2.5749062821576974E-4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2.5902681551714089E-4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2.601484865487404E-4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2.6127015758033991E-4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2.6239182861193943E-4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2.6351349964353894E-4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2.6463517067513845E-4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2.65704697170265E-4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2.6677422366539166E-4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2.6784375016051826E-4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2.6891327665564486E-4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2.6998280315077152E-4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2.7099913237530138E-4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2.7201546159983135E-4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2.7303179082436121E-4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2.7404812004889106E-4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2.7506444927342098E-4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1.5021544479938381E-3</v>
      </c>
      <c r="C13" s="7">
        <f>$B13 * IFERROR(VLOOKUP("buildings|SO2|Non-fatal heart attacks", US_national_yearly!$D:$AM, 11, FALSE) / VLOOKUP("buildings|SO2|Non-fatal heart attacks", US_national_yearly!$D:$AM, 10, FALSE), 1)</f>
        <v>1.5462665036039104E-3</v>
      </c>
      <c r="D13" s="7">
        <f>$B13 * IFERROR(VLOOKUP("buildings|SO2|Non-fatal heart attacks", US_national_yearly!$D:$AM, 12, FALSE) / VLOOKUP("buildings|SO2|Non-fatal heart attacks", US_national_yearly!$D:$AM, 10, FALSE), 1)</f>
        <v>1.5903785592139826E-3</v>
      </c>
      <c r="E13" s="7">
        <f>$B13 * IFERROR(VLOOKUP("buildings|SO2|Non-fatal heart attacks", US_national_yearly!$D:$AM, 13, FALSE) / VLOOKUP("buildings|SO2|Non-fatal heart attacks", US_national_yearly!$D:$AM, 10, FALSE), 1)</f>
        <v>1.6344906148240547E-3</v>
      </c>
      <c r="F13" s="7">
        <f>$B13 * IFERROR(VLOOKUP("buildings|SO2|Non-fatal heart attacks", US_national_yearly!$D:$AM, 14, FALSE) / VLOOKUP("buildings|SO2|Non-fatal heart attacks", US_national_yearly!$D:$AM, 10, FALSE), 1)</f>
        <v>1.678602670434127E-3</v>
      </c>
      <c r="G13" s="7">
        <f>$B13 * IFERROR(VLOOKUP("buildings|SO2|Non-fatal heart attacks", US_national_yearly!$D:$AM, 15, FALSE) / VLOOKUP("buildings|SO2|Non-fatal heart attacks", US_national_yearly!$D:$AM, 10, FALSE), 1)</f>
        <v>1.72020745327964E-3</v>
      </c>
      <c r="H13" s="7">
        <f>$B13 * IFERROR(VLOOKUP("buildings|SO2|Non-fatal heart attacks", US_national_yearly!$D:$AM, 16, FALSE) / VLOOKUP("buildings|SO2|Non-fatal heart attacks", US_national_yearly!$D:$AM, 10, FALSE), 1)</f>
        <v>1.7618122361251533E-3</v>
      </c>
      <c r="I13" s="7">
        <f>$B13 * IFERROR(VLOOKUP("buildings|SO2|Non-fatal heart attacks", US_national_yearly!$D:$AM, 17, FALSE) / VLOOKUP("buildings|SO2|Non-fatal heart attacks", US_national_yearly!$D:$AM, 10, FALSE), 1)</f>
        <v>1.7953013285939489E-3</v>
      </c>
      <c r="J13" s="7">
        <f>$B13 * IFERROR(VLOOKUP("buildings|SO2|Non-fatal heart attacks", US_national_yearly!$D:$AM, 18, FALSE) / VLOOKUP("buildings|SO2|Non-fatal heart attacks", US_national_yearly!$D:$AM, 10, FALSE), 1)</f>
        <v>1.8287904210627451E-3</v>
      </c>
      <c r="K13" s="7">
        <f>$B13 * IFERROR(VLOOKUP("buildings|SO2|Non-fatal heart attacks", US_national_yearly!$D:$AM, 19, FALSE) / VLOOKUP("buildings|SO2|Non-fatal heart attacks", US_national_yearly!$D:$AM, 10, FALSE), 1)</f>
        <v>1.862279513531541E-3</v>
      </c>
      <c r="L13" s="7">
        <f>$B13 * IFERROR(VLOOKUP("buildings|SO2|Non-fatal heart attacks", US_national_yearly!$D:$AM, 20, FALSE) / VLOOKUP("buildings|SO2|Non-fatal heart attacks", US_national_yearly!$D:$AM, 10, FALSE), 1)</f>
        <v>1.8957686060003373E-3</v>
      </c>
      <c r="M13" s="7">
        <f>$B13 * IFERROR(VLOOKUP("buildings|SO2|Non-fatal heart attacks", US_national_yearly!$D:$AM, 21, FALSE) / VLOOKUP("buildings|SO2|Non-fatal heart attacks", US_national_yearly!$D:$AM, 10, FALSE), 1)</f>
        <v>1.9292576984691334E-3</v>
      </c>
      <c r="N13" s="7">
        <f>$B13 * IFERROR(VLOOKUP("buildings|SO2|Non-fatal heart attacks", US_national_yearly!$D:$AM, 22, FALSE) / VLOOKUP("buildings|SO2|Non-fatal heart attacks", US_national_yearly!$D:$AM, 10, FALSE), 1)</f>
        <v>1.9509936762498335E-3</v>
      </c>
      <c r="O13" s="7">
        <f>$B13 * IFERROR(VLOOKUP("buildings|SO2|Non-fatal heart attacks", US_national_yearly!$D:$AM, 23, FALSE) / VLOOKUP("buildings|SO2|Non-fatal heart attacks", US_national_yearly!$D:$AM, 10, FALSE), 1)</f>
        <v>1.972729654030534E-3</v>
      </c>
      <c r="P13" s="7">
        <f>$B13 * IFERROR(VLOOKUP("buildings|SO2|Non-fatal heart attacks", US_national_yearly!$D:$AM, 24, FALSE) / VLOOKUP("buildings|SO2|Non-fatal heart attacks", US_national_yearly!$D:$AM, 10, FALSE), 1)</f>
        <v>1.9944656318112344E-3</v>
      </c>
      <c r="Q13" s="7">
        <f>$B13 * IFERROR(VLOOKUP("buildings|SO2|Non-fatal heart attacks", US_national_yearly!$D:$AM, 25, FALSE) / VLOOKUP("buildings|SO2|Non-fatal heart attacks", US_national_yearly!$D:$AM, 10, FALSE), 1)</f>
        <v>2.0162016095919342E-3</v>
      </c>
      <c r="R13" s="7">
        <f>$B13 * IFERROR(VLOOKUP("buildings|SO2|Non-fatal heart attacks", US_national_yearly!$D:$AM, 26, FALSE) / VLOOKUP("buildings|SO2|Non-fatal heart attacks", US_national_yearly!$D:$AM, 10, FALSE), 1)</f>
        <v>2.037937587372635E-3</v>
      </c>
      <c r="S13" s="7">
        <f>$B13 * IFERROR(VLOOKUP("buildings|SO2|Non-fatal heart attacks", US_national_yearly!$D:$AM, 27, FALSE) / VLOOKUP("buildings|SO2|Non-fatal heart attacks", US_national_yearly!$D:$AM, 10, FALSE), 1)</f>
        <v>2.0492880793797309E-3</v>
      </c>
      <c r="T13" s="7">
        <f>$B13 * IFERROR(VLOOKUP("buildings|SO2|Non-fatal heart attacks", US_national_yearly!$D:$AM, 28, FALSE) / VLOOKUP("buildings|SO2|Non-fatal heart attacks", US_national_yearly!$D:$AM, 10, FALSE), 1)</f>
        <v>2.0606385713868268E-3</v>
      </c>
      <c r="U13" s="7">
        <f>$B13 * IFERROR(VLOOKUP("buildings|SO2|Non-fatal heart attacks", US_national_yearly!$D:$AM, 29, FALSE) / VLOOKUP("buildings|SO2|Non-fatal heart attacks", US_national_yearly!$D:$AM, 10, FALSE), 1)</f>
        <v>2.0719890633939218E-3</v>
      </c>
      <c r="V13" s="7">
        <f>$B13 * IFERROR(VLOOKUP("buildings|SO2|Non-fatal heart attacks", US_national_yearly!$D:$AM, 30, FALSE) / VLOOKUP("buildings|SO2|Non-fatal heart attacks", US_national_yearly!$D:$AM, 10, FALSE), 1)</f>
        <v>2.0833395554010177E-3</v>
      </c>
      <c r="W13" s="7">
        <f>$B13 * IFERROR(VLOOKUP("buildings|SO2|Non-fatal heart attacks", US_national_yearly!$D:$AM, 31, FALSE) / VLOOKUP("buildings|SO2|Non-fatal heart attacks", US_national_yearly!$D:$AM, 10, FALSE), 1)</f>
        <v>2.0946900474081132E-3</v>
      </c>
      <c r="X13" s="7">
        <f>$B13 * IFERROR(VLOOKUP("buildings|SO2|Non-fatal heart attacks", US_national_yearly!$D:$AM, 32, FALSE) / VLOOKUP("buildings|SO2|Non-fatal heart attacks", US_national_yearly!$D:$AM, 10, FALSE), 1)</f>
        <v>2.1032627724896988E-3</v>
      </c>
      <c r="Y13" s="7">
        <f>$B13 * IFERROR(VLOOKUP("buildings|SO2|Non-fatal heart attacks", US_national_yearly!$D:$AM, 33, FALSE) / VLOOKUP("buildings|SO2|Non-fatal heart attacks", US_national_yearly!$D:$AM, 10, FALSE), 1)</f>
        <v>2.1118354975712844E-3</v>
      </c>
      <c r="Z13" s="7">
        <f>$B13 * IFERROR(VLOOKUP("buildings|SO2|Non-fatal heart attacks", US_national_yearly!$D:$AM, 34, FALSE) / VLOOKUP("buildings|SO2|Non-fatal heart attacks", US_national_yearly!$D:$AM, 10, FALSE), 1)</f>
        <v>2.1204082226528691E-3</v>
      </c>
      <c r="AA13" s="7">
        <f>$B13 * IFERROR(VLOOKUP("buildings|SO2|Non-fatal heart attacks", US_national_yearly!$D:$AM, 35, FALSE) / VLOOKUP("buildings|SO2|Non-fatal heart attacks", US_national_yearly!$D:$AM, 10, FALSE), 1)</f>
        <v>2.1289809477344547E-3</v>
      </c>
      <c r="AB13" s="7">
        <f>$B13 * IFERROR(VLOOKUP("buildings|SO2|Non-fatal heart attacks", US_national_yearly!$D:$AM, 36, FALSE) / VLOOKUP("buildings|SO2|Non-fatal heart attacks", US_national_yearly!$D:$AM, 10, FALSE), 1)</f>
        <v>2.1375536728160398E-3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1.0706058117034138</v>
      </c>
      <c r="C14" s="7">
        <f>$B14 * IFERROR(VLOOKUP("buildings|SO2|Minor restricted activity days", US_national_yearly!$D:$AM, 11, FALSE) / VLOOKUP("buildings|SO2|Minor restricted activity days", US_national_yearly!$D:$AM, 10, FALSE), 1)</f>
        <v>1.0733159939180652</v>
      </c>
      <c r="D14" s="7">
        <f>$B14 * IFERROR(VLOOKUP("buildings|SO2|Minor restricted activity days", US_national_yearly!$D:$AM, 12, FALSE) / VLOOKUP("buildings|SO2|Minor restricted activity days", US_national_yearly!$D:$AM, 10, FALSE), 1)</f>
        <v>1.0760261761327168</v>
      </c>
      <c r="E14" s="7">
        <f>$B14 * IFERROR(VLOOKUP("buildings|SO2|Minor restricted activity days", US_national_yearly!$D:$AM, 13, FALSE) / VLOOKUP("buildings|SO2|Minor restricted activity days", US_national_yearly!$D:$AM, 10, FALSE), 1)</f>
        <v>1.0787363583473684</v>
      </c>
      <c r="F14" s="7">
        <f>$B14 * IFERROR(VLOOKUP("buildings|SO2|Minor restricted activity days", US_national_yearly!$D:$AM, 14, FALSE) / VLOOKUP("buildings|SO2|Minor restricted activity days", US_national_yearly!$D:$AM, 10, FALSE), 1)</f>
        <v>1.0814465405620197</v>
      </c>
      <c r="G14" s="7">
        <f>$B14 * IFERROR(VLOOKUP("buildings|SO2|Minor restricted activity days", US_national_yearly!$D:$AM, 15, FALSE) / VLOOKUP("buildings|SO2|Minor restricted activity days", US_national_yearly!$D:$AM, 10, FALSE), 1)</f>
        <v>1.0854315822564156</v>
      </c>
      <c r="H14" s="7">
        <f>$B14 * IFERROR(VLOOKUP("buildings|SO2|Minor restricted activity days", US_national_yearly!$D:$AM, 16, FALSE) / VLOOKUP("buildings|SO2|Minor restricted activity days", US_national_yearly!$D:$AM, 10, FALSE), 1)</f>
        <v>1.0894166239508114</v>
      </c>
      <c r="I14" s="7">
        <f>$B14 * IFERROR(VLOOKUP("buildings|SO2|Minor restricted activity days", US_national_yearly!$D:$AM, 17, FALSE) / VLOOKUP("buildings|SO2|Minor restricted activity days", US_national_yearly!$D:$AM, 10, FALSE), 1)</f>
        <v>1.0962035509933192</v>
      </c>
      <c r="J14" s="7">
        <f>$B14 * IFERROR(VLOOKUP("buildings|SO2|Minor restricted activity days", US_national_yearly!$D:$AM, 18, FALSE) / VLOOKUP("buildings|SO2|Minor restricted activity days", US_national_yearly!$D:$AM, 10, FALSE), 1)</f>
        <v>1.1029904780358271</v>
      </c>
      <c r="K14" s="7">
        <f>$B14 * IFERROR(VLOOKUP("buildings|SO2|Minor restricted activity days", US_national_yearly!$D:$AM, 19, FALSE) / VLOOKUP("buildings|SO2|Minor restricted activity days", US_national_yearly!$D:$AM, 10, FALSE), 1)</f>
        <v>1.1097774050783349</v>
      </c>
      <c r="L14" s="7">
        <f>$B14 * IFERROR(VLOOKUP("buildings|SO2|Minor restricted activity days", US_national_yearly!$D:$AM, 20, FALSE) / VLOOKUP("buildings|SO2|Minor restricted activity days", US_national_yearly!$D:$AM, 10, FALSE), 1)</f>
        <v>1.1165643321208427</v>
      </c>
      <c r="M14" s="7">
        <f>$B14 * IFERROR(VLOOKUP("buildings|SO2|Minor restricted activity days", US_national_yearly!$D:$AM, 21, FALSE) / VLOOKUP("buildings|SO2|Minor restricted activity days", US_national_yearly!$D:$AM, 10, FALSE), 1)</f>
        <v>1.1233512591633503</v>
      </c>
      <c r="N14" s="7">
        <f>$B14 * IFERROR(VLOOKUP("buildings|SO2|Minor restricted activity days", US_national_yearly!$D:$AM, 22, FALSE) / VLOOKUP("buildings|SO2|Minor restricted activity days", US_national_yearly!$D:$AM, 10, FALSE), 1)</f>
        <v>1.132632025246475</v>
      </c>
      <c r="O14" s="7">
        <f>$B14 * IFERROR(VLOOKUP("buildings|SO2|Minor restricted activity days", US_national_yearly!$D:$AM, 23, FALSE) / VLOOKUP("buildings|SO2|Minor restricted activity days", US_national_yearly!$D:$AM, 10, FALSE), 1)</f>
        <v>1.1419127913295997</v>
      </c>
      <c r="P14" s="7">
        <f>$B14 * IFERROR(VLOOKUP("buildings|SO2|Minor restricted activity days", US_national_yearly!$D:$AM, 24, FALSE) / VLOOKUP("buildings|SO2|Minor restricted activity days", US_national_yearly!$D:$AM, 10, FALSE), 1)</f>
        <v>1.1511935574127241</v>
      </c>
      <c r="Q14" s="7">
        <f>$B14 * IFERROR(VLOOKUP("buildings|SO2|Minor restricted activity days", US_national_yearly!$D:$AM, 25, FALSE) / VLOOKUP("buildings|SO2|Minor restricted activity days", US_national_yearly!$D:$AM, 10, FALSE), 1)</f>
        <v>1.1604743234958488</v>
      </c>
      <c r="R14" s="7">
        <f>$B14 * IFERROR(VLOOKUP("buildings|SO2|Minor restricted activity days", US_national_yearly!$D:$AM, 26, FALSE) / VLOOKUP("buildings|SO2|Minor restricted activity days", US_national_yearly!$D:$AM, 10, FALSE), 1)</f>
        <v>1.1697550895789735</v>
      </c>
      <c r="S14" s="7">
        <f>$B14 * IFERROR(VLOOKUP("buildings|SO2|Minor restricted activity days", US_national_yearly!$D:$AM, 27, FALSE) / VLOOKUP("buildings|SO2|Minor restricted activity days", US_national_yearly!$D:$AM, 10, FALSE), 1)</f>
        <v>1.1792162280772849</v>
      </c>
      <c r="T14" s="7">
        <f>$B14 * IFERROR(VLOOKUP("buildings|SO2|Minor restricted activity days", US_national_yearly!$D:$AM, 28, FALSE) / VLOOKUP("buildings|SO2|Minor restricted activity days", US_national_yearly!$D:$AM, 10, FALSE), 1)</f>
        <v>1.1886773665755963</v>
      </c>
      <c r="U14" s="7">
        <f>$B14 * IFERROR(VLOOKUP("buildings|SO2|Minor restricted activity days", US_national_yearly!$D:$AM, 29, FALSE) / VLOOKUP("buildings|SO2|Minor restricted activity days", US_national_yearly!$D:$AM, 10, FALSE), 1)</f>
        <v>1.1981385050739077</v>
      </c>
      <c r="V14" s="7">
        <f>$B14 * IFERROR(VLOOKUP("buildings|SO2|Minor restricted activity days", US_national_yearly!$D:$AM, 30, FALSE) / VLOOKUP("buildings|SO2|Minor restricted activity days", US_national_yearly!$D:$AM, 10, FALSE), 1)</f>
        <v>1.2075996435722189</v>
      </c>
      <c r="W14" s="7">
        <f>$B14 * IFERROR(VLOOKUP("buildings|SO2|Minor restricted activity days", US_national_yearly!$D:$AM, 31, FALSE) / VLOOKUP("buildings|SO2|Minor restricted activity days", US_national_yearly!$D:$AM, 10, FALSE), 1)</f>
        <v>1.2170607820705306</v>
      </c>
      <c r="X14" s="7">
        <f>$B14 * IFERROR(VLOOKUP("buildings|SO2|Minor restricted activity days", US_national_yearly!$D:$AM, 32, FALSE) / VLOOKUP("buildings|SO2|Minor restricted activity days", US_national_yearly!$D:$AM, 10, FALSE), 1)</f>
        <v>1.2253813058544929</v>
      </c>
      <c r="Y14" s="7">
        <f>$B14 * IFERROR(VLOOKUP("buildings|SO2|Minor restricted activity days", US_national_yearly!$D:$AM, 33, FALSE) / VLOOKUP("buildings|SO2|Minor restricted activity days", US_national_yearly!$D:$AM, 10, FALSE), 1)</f>
        <v>1.2337018296384556</v>
      </c>
      <c r="Z14" s="7">
        <f>$B14 * IFERROR(VLOOKUP("buildings|SO2|Minor restricted activity days", US_national_yearly!$D:$AM, 34, FALSE) / VLOOKUP("buildings|SO2|Minor restricted activity days", US_national_yearly!$D:$AM, 10, FALSE), 1)</f>
        <v>1.242022353422418</v>
      </c>
      <c r="AA14" s="7">
        <f>$B14 * IFERROR(VLOOKUP("buildings|SO2|Minor restricted activity days", US_national_yearly!$D:$AM, 35, FALSE) / VLOOKUP("buildings|SO2|Minor restricted activity days", US_national_yearly!$D:$AM, 10, FALSE), 1)</f>
        <v>1.2503428772063807</v>
      </c>
      <c r="AB14" s="7">
        <f>$B14 * IFERROR(VLOOKUP("buildings|SO2|Minor restricted activity days", US_national_yearly!$D:$AM, 36, FALSE) / VLOOKUP("buildings|SO2|Minor restricted activity days", US_national_yearly!$D:$AM, 10, FALSE), 1)</f>
        <v>1.258663400990343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0.18073307460710683</v>
      </c>
      <c r="C15" s="7">
        <f>$B15 * IFERROR(VLOOKUP("buildings|SO2|Work loss days", US_national_yearly!$D:$AM, 11, FALSE) / VLOOKUP("buildings|SO2|Work loss days", US_national_yearly!$D:$AM, 10, FALSE), 1)</f>
        <v>0.18132027342320853</v>
      </c>
      <c r="D15" s="7">
        <f>$B15 * IFERROR(VLOOKUP("buildings|SO2|Work loss days", US_national_yearly!$D:$AM, 12, FALSE) / VLOOKUP("buildings|SO2|Work loss days", US_national_yearly!$D:$AM, 10, FALSE), 1)</f>
        <v>0.18190747223931025</v>
      </c>
      <c r="E15" s="7">
        <f>$B15 * IFERROR(VLOOKUP("buildings|SO2|Work loss days", US_national_yearly!$D:$AM, 13, FALSE) / VLOOKUP("buildings|SO2|Work loss days", US_national_yearly!$D:$AM, 10, FALSE), 1)</f>
        <v>0.18249467105541195</v>
      </c>
      <c r="F15" s="7">
        <f>$B15 * IFERROR(VLOOKUP("buildings|SO2|Work loss days", US_national_yearly!$D:$AM, 14, FALSE) / VLOOKUP("buildings|SO2|Work loss days", US_national_yearly!$D:$AM, 10, FALSE), 1)</f>
        <v>0.18308186987151362</v>
      </c>
      <c r="G15" s="7">
        <f>$B15 * IFERROR(VLOOKUP("buildings|SO2|Work loss days", US_national_yearly!$D:$AM, 15, FALSE) / VLOOKUP("buildings|SO2|Work loss days", US_national_yearly!$D:$AM, 10, FALSE), 1)</f>
        <v>0.18384878402011517</v>
      </c>
      <c r="H15" s="7">
        <f>$B15 * IFERROR(VLOOKUP("buildings|SO2|Work loss days", US_national_yearly!$D:$AM, 16, FALSE) / VLOOKUP("buildings|SO2|Work loss days", US_national_yearly!$D:$AM, 10, FALSE), 1)</f>
        <v>0.18461569816871676</v>
      </c>
      <c r="I15" s="7">
        <f>$B15 * IFERROR(VLOOKUP("buildings|SO2|Work loss days", US_national_yearly!$D:$AM, 17, FALSE) / VLOOKUP("buildings|SO2|Work loss days", US_national_yearly!$D:$AM, 10, FALSE), 1)</f>
        <v>0.18573696957981847</v>
      </c>
      <c r="J15" s="7">
        <f>$B15 * IFERROR(VLOOKUP("buildings|SO2|Work loss days", US_national_yearly!$D:$AM, 18, FALSE) / VLOOKUP("buildings|SO2|Work loss days", US_national_yearly!$D:$AM, 10, FALSE), 1)</f>
        <v>0.18685824099092016</v>
      </c>
      <c r="K15" s="7">
        <f>$B15 * IFERROR(VLOOKUP("buildings|SO2|Work loss days", US_national_yearly!$D:$AM, 19, FALSE) / VLOOKUP("buildings|SO2|Work loss days", US_national_yearly!$D:$AM, 10, FALSE), 1)</f>
        <v>0.18797951240202185</v>
      </c>
      <c r="L15" s="7">
        <f>$B15 * IFERROR(VLOOKUP("buildings|SO2|Work loss days", US_national_yearly!$D:$AM, 20, FALSE) / VLOOKUP("buildings|SO2|Work loss days", US_national_yearly!$D:$AM, 10, FALSE), 1)</f>
        <v>0.18910078381312354</v>
      </c>
      <c r="M15" s="7">
        <f>$B15 * IFERROR(VLOOKUP("buildings|SO2|Work loss days", US_national_yearly!$D:$AM, 21, FALSE) / VLOOKUP("buildings|SO2|Work loss days", US_national_yearly!$D:$AM, 10, FALSE), 1)</f>
        <v>0.19022205522422519</v>
      </c>
      <c r="N15" s="7">
        <f>$B15 * IFERROR(VLOOKUP("buildings|SO2|Work loss days", US_national_yearly!$D:$AM, 22, FALSE) / VLOOKUP("buildings|SO2|Work loss days", US_national_yearly!$D:$AM, 10, FALSE), 1)</f>
        <v>0.19162811120587997</v>
      </c>
      <c r="O15" s="7">
        <f>$B15 * IFERROR(VLOOKUP("buildings|SO2|Work loss days", US_national_yearly!$D:$AM, 23, FALSE) / VLOOKUP("buildings|SO2|Work loss days", US_national_yearly!$D:$AM, 10, FALSE), 1)</f>
        <v>0.19303416718753472</v>
      </c>
      <c r="P15" s="7">
        <f>$B15 * IFERROR(VLOOKUP("buildings|SO2|Work loss days", US_national_yearly!$D:$AM, 24, FALSE) / VLOOKUP("buildings|SO2|Work loss days", US_national_yearly!$D:$AM, 10, FALSE), 1)</f>
        <v>0.19444022316918946</v>
      </c>
      <c r="Q15" s="7">
        <f>$B15 * IFERROR(VLOOKUP("buildings|SO2|Work loss days", US_national_yearly!$D:$AM, 25, FALSE) / VLOOKUP("buildings|SO2|Work loss days", US_national_yearly!$D:$AM, 10, FALSE), 1)</f>
        <v>0.19584627915084424</v>
      </c>
      <c r="R15" s="7">
        <f>$B15 * IFERROR(VLOOKUP("buildings|SO2|Work loss days", US_national_yearly!$D:$AM, 26, FALSE) / VLOOKUP("buildings|SO2|Work loss days", US_national_yearly!$D:$AM, 10, FALSE), 1)</f>
        <v>0.19725233513249893</v>
      </c>
      <c r="S15" s="7">
        <f>$B15 * IFERROR(VLOOKUP("buildings|SO2|Work loss days", US_national_yearly!$D:$AM, 27, FALSE) / VLOOKUP("buildings|SO2|Work loss days", US_national_yearly!$D:$AM, 10, FALSE), 1)</f>
        <v>0.1988230228268133</v>
      </c>
      <c r="T15" s="7">
        <f>$B15 * IFERROR(VLOOKUP("buildings|SO2|Work loss days", US_national_yearly!$D:$AM, 28, FALSE) / VLOOKUP("buildings|SO2|Work loss days", US_national_yearly!$D:$AM, 10, FALSE), 1)</f>
        <v>0.20039371052112767</v>
      </c>
      <c r="U15" s="7">
        <f>$B15 * IFERROR(VLOOKUP("buildings|SO2|Work loss days", US_national_yearly!$D:$AM, 29, FALSE) / VLOOKUP("buildings|SO2|Work loss days", US_national_yearly!$D:$AM, 10, FALSE), 1)</f>
        <v>0.20196439821544204</v>
      </c>
      <c r="V15" s="7">
        <f>$B15 * IFERROR(VLOOKUP("buildings|SO2|Work loss days", US_national_yearly!$D:$AM, 30, FALSE) / VLOOKUP("buildings|SO2|Work loss days", US_national_yearly!$D:$AM, 10, FALSE), 1)</f>
        <v>0.20353508590975639</v>
      </c>
      <c r="W15" s="7">
        <f>$B15 * IFERROR(VLOOKUP("buildings|SO2|Work loss days", US_national_yearly!$D:$AM, 31, FALSE) / VLOOKUP("buildings|SO2|Work loss days", US_national_yearly!$D:$AM, 10, FALSE), 1)</f>
        <v>0.20510577360407076</v>
      </c>
      <c r="X15" s="7">
        <f>$B15 * IFERROR(VLOOKUP("buildings|SO2|Work loss days", US_national_yearly!$D:$AM, 32, FALSE) / VLOOKUP("buildings|SO2|Work loss days", US_national_yearly!$D:$AM, 10, FALSE), 1)</f>
        <v>0.20651606601040287</v>
      </c>
      <c r="Y15" s="7">
        <f>$B15 * IFERROR(VLOOKUP("buildings|SO2|Work loss days", US_national_yearly!$D:$AM, 33, FALSE) / VLOOKUP("buildings|SO2|Work loss days", US_national_yearly!$D:$AM, 10, FALSE), 1)</f>
        <v>0.20792635841673499</v>
      </c>
      <c r="Z15" s="7">
        <f>$B15 * IFERROR(VLOOKUP("buildings|SO2|Work loss days", US_national_yearly!$D:$AM, 34, FALSE) / VLOOKUP("buildings|SO2|Work loss days", US_national_yearly!$D:$AM, 10, FALSE), 1)</f>
        <v>0.20933665082306704</v>
      </c>
      <c r="AA15" s="7">
        <f>$B15 * IFERROR(VLOOKUP("buildings|SO2|Work loss days", US_national_yearly!$D:$AM, 35, FALSE) / VLOOKUP("buildings|SO2|Work loss days", US_national_yearly!$D:$AM, 10, FALSE), 1)</f>
        <v>0.21074694322939916</v>
      </c>
      <c r="AB15" s="7">
        <f>$B15 * IFERROR(VLOOKUP("buildings|SO2|Work loss days", US_national_yearly!$D:$AM, 36, FALSE) / VLOOKUP("buildings|SO2|Work loss days", US_national_yearly!$D:$AM, 10, FALSE), 1)</f>
        <v>0.21215723563573124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3.8781708578915496E-4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3.9954830384786116E-4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4.1127952190656735E-4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4.2301073996527366E-4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4.3474195802397985E-4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4.4597976223942842E-4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4.5721756645487692E-4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4.6684834202925226E-4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4.7647911760362739E-4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4.8610989317800273E-4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4.9574066875237796E-4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5.0537144432675314E-4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5.1183831711349218E-4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5.1830518990023122E-4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5.2477206268697026E-4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5.312389354737092E-4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5.3770580826044824E-4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5.4110660004811533E-4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5.4450739183578253E-4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5.4790818362344951E-4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5.513089754111166E-4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5.5470976719878369E-4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5.5699340652932766E-4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5.5927704585987152E-4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5.6156068519041548E-4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5.6384432452095945E-4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5.6612796385150331E-4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2.673311069085027E-2</v>
      </c>
      <c r="C2" s="7">
        <f>$B2 * IFERROR(VLOOKUP("industry|PM25|Premature mortality", US_national_yearly!$D:$AM, 11, FALSE) / VLOOKUP("industry|PM25|Premature mortality", US_national_yearly!$D:$AM, 10, FALSE), 1)</f>
        <v>2.7066025279935593E-2</v>
      </c>
      <c r="D2" s="7">
        <f>$B2 * IFERROR(VLOOKUP("industry|PM25|Premature mortality", US_national_yearly!$D:$AM, 12, FALSE) / VLOOKUP("industry|PM25|Premature mortality", US_national_yearly!$D:$AM, 10, FALSE), 1)</f>
        <v>2.7398939869020908E-2</v>
      </c>
      <c r="E2" s="7">
        <f>$B2 * IFERROR(VLOOKUP("industry|PM25|Premature mortality", US_national_yearly!$D:$AM, 13, FALSE) / VLOOKUP("industry|PM25|Premature mortality", US_national_yearly!$D:$AM, 10, FALSE), 1)</f>
        <v>2.773185445810623E-2</v>
      </c>
      <c r="F2" s="7">
        <f>$B2 * IFERROR(VLOOKUP("industry|PM25|Premature mortality", US_national_yearly!$D:$AM, 14, FALSE) / VLOOKUP("industry|PM25|Premature mortality", US_national_yearly!$D:$AM, 10, FALSE), 1)</f>
        <v>2.8064769047191546E-2</v>
      </c>
      <c r="G2" s="7">
        <f>$B2 * IFERROR(VLOOKUP("industry|PM25|Premature mortality", US_national_yearly!$D:$AM, 15, FALSE) / VLOOKUP("industry|PM25|Premature mortality", US_national_yearly!$D:$AM, 10, FALSE), 1)</f>
        <v>2.8712449209278821E-2</v>
      </c>
      <c r="H2" s="7">
        <f>$B2 * IFERROR(VLOOKUP("industry|PM25|Premature mortality", US_national_yearly!$D:$AM, 16, FALSE) / VLOOKUP("industry|PM25|Premature mortality", US_national_yearly!$D:$AM, 10, FALSE), 1)</f>
        <v>2.9360129371366096E-2</v>
      </c>
      <c r="I2" s="7">
        <f>$B2 * IFERROR(VLOOKUP("industry|PM25|Premature mortality", US_national_yearly!$D:$AM, 17, FALSE) / VLOOKUP("industry|PM25|Premature mortality", US_national_yearly!$D:$AM, 10, FALSE), 1)</f>
        <v>2.9787790429293682E-2</v>
      </c>
      <c r="J2" s="7">
        <f>$B2 * IFERROR(VLOOKUP("industry|PM25|Premature mortality", US_national_yearly!$D:$AM, 18, FALSE) / VLOOKUP("industry|PM25|Premature mortality", US_national_yearly!$D:$AM, 10, FALSE), 1)</f>
        <v>3.0215451487221264E-2</v>
      </c>
      <c r="K2" s="7">
        <f>$B2 * IFERROR(VLOOKUP("industry|PM25|Premature mortality", US_national_yearly!$D:$AM, 19, FALSE) / VLOOKUP("industry|PM25|Premature mortality", US_national_yearly!$D:$AM, 10, FALSE), 1)</f>
        <v>3.0643112545148846E-2</v>
      </c>
      <c r="L2" s="7">
        <f>$B2 * IFERROR(VLOOKUP("industry|PM25|Premature mortality", US_national_yearly!$D:$AM, 20, FALSE) / VLOOKUP("industry|PM25|Premature mortality", US_national_yearly!$D:$AM, 10, FALSE), 1)</f>
        <v>3.1070773603076429E-2</v>
      </c>
      <c r="M2" s="7">
        <f>$B2 * IFERROR(VLOOKUP("industry|PM25|Premature mortality", US_national_yearly!$D:$AM, 21, FALSE) / VLOOKUP("industry|PM25|Premature mortality", US_national_yearly!$D:$AM, 10, FALSE), 1)</f>
        <v>3.1498434661004014E-2</v>
      </c>
      <c r="N2" s="7">
        <f>$B2 * IFERROR(VLOOKUP("industry|PM25|Premature mortality", US_national_yearly!$D:$AM, 22, FALSE) / VLOOKUP("industry|PM25|Premature mortality", US_national_yearly!$D:$AM, 10, FALSE), 1)</f>
        <v>3.183161918880955E-2</v>
      </c>
      <c r="O2" s="7">
        <f>$B2 * IFERROR(VLOOKUP("industry|PM25|Premature mortality", US_national_yearly!$D:$AM, 23, FALSE) / VLOOKUP("industry|PM25|Premature mortality", US_national_yearly!$D:$AM, 10, FALSE), 1)</f>
        <v>3.2164803716615079E-2</v>
      </c>
      <c r="P2" s="7">
        <f>$B2 * IFERROR(VLOOKUP("industry|PM25|Premature mortality", US_national_yearly!$D:$AM, 24, FALSE) / VLOOKUP("industry|PM25|Premature mortality", US_national_yearly!$D:$AM, 10, FALSE), 1)</f>
        <v>3.2497988244420607E-2</v>
      </c>
      <c r="Q2" s="7">
        <f>$B2 * IFERROR(VLOOKUP("industry|PM25|Premature mortality", US_national_yearly!$D:$AM, 25, FALSE) / VLOOKUP("industry|PM25|Premature mortality", US_national_yearly!$D:$AM, 10, FALSE), 1)</f>
        <v>3.2831172772226143E-2</v>
      </c>
      <c r="R2" s="7">
        <f>$B2 * IFERROR(VLOOKUP("industry|PM25|Premature mortality", US_national_yearly!$D:$AM, 26, FALSE) / VLOOKUP("industry|PM25|Premature mortality", US_national_yearly!$D:$AM, 10, FALSE), 1)</f>
        <v>3.3164357300031665E-2</v>
      </c>
      <c r="S2" s="7">
        <f>$B2 * IFERROR(VLOOKUP("industry|PM25|Premature mortality", US_national_yearly!$D:$AM, 27, FALSE) / VLOOKUP("industry|PM25|Premature mortality", US_national_yearly!$D:$AM, 10, FALSE), 1)</f>
        <v>3.334426458732468E-2</v>
      </c>
      <c r="T2" s="7">
        <f>$B2 * IFERROR(VLOOKUP("industry|PM25|Premature mortality", US_national_yearly!$D:$AM, 28, FALSE) / VLOOKUP("industry|PM25|Premature mortality", US_national_yearly!$D:$AM, 10, FALSE), 1)</f>
        <v>3.3524171874617696E-2</v>
      </c>
      <c r="U2" s="7">
        <f>$B2 * IFERROR(VLOOKUP("industry|PM25|Premature mortality", US_national_yearly!$D:$AM, 29, FALSE) / VLOOKUP("industry|PM25|Premature mortality", US_national_yearly!$D:$AM, 10, FALSE), 1)</f>
        <v>3.3704079161910719E-2</v>
      </c>
      <c r="V2" s="7">
        <f>$B2 * IFERROR(VLOOKUP("industry|PM25|Premature mortality", US_national_yearly!$D:$AM, 30, FALSE) / VLOOKUP("industry|PM25|Premature mortality", US_national_yearly!$D:$AM, 10, FALSE), 1)</f>
        <v>3.3883986449203735E-2</v>
      </c>
      <c r="W2" s="7">
        <f>$B2 * IFERROR(VLOOKUP("industry|PM25|Premature mortality", US_national_yearly!$D:$AM, 31, FALSE) / VLOOKUP("industry|PM25|Premature mortality", US_national_yearly!$D:$AM, 10, FALSE), 1)</f>
        <v>3.406389373649675E-2</v>
      </c>
      <c r="X2" s="7">
        <f>$B2 * IFERROR(VLOOKUP("industry|PM25|Premature mortality", US_national_yearly!$D:$AM, 32, FALSE) / VLOOKUP("industry|PM25|Premature mortality", US_national_yearly!$D:$AM, 10, FALSE), 1)</f>
        <v>3.4101038285456693E-2</v>
      </c>
      <c r="Y2" s="7">
        <f>$B2 * IFERROR(VLOOKUP("industry|PM25|Premature mortality", US_national_yearly!$D:$AM, 33, FALSE) / VLOOKUP("industry|PM25|Premature mortality", US_national_yearly!$D:$AM, 10, FALSE), 1)</f>
        <v>3.4138182834416657E-2</v>
      </c>
      <c r="Z2" s="7">
        <f>$B2 * IFERROR(VLOOKUP("industry|PM25|Premature mortality", US_national_yearly!$D:$AM, 34, FALSE) / VLOOKUP("industry|PM25|Premature mortality", US_national_yearly!$D:$AM, 10, FALSE), 1)</f>
        <v>3.41753273833766E-2</v>
      </c>
      <c r="AA2" s="7">
        <f>$B2 * IFERROR(VLOOKUP("industry|PM25|Premature mortality", US_national_yearly!$D:$AM, 35, FALSE) / VLOOKUP("industry|PM25|Premature mortality", US_national_yearly!$D:$AM, 10, FALSE), 1)</f>
        <v>3.4212471932336556E-2</v>
      </c>
      <c r="AB2" s="7">
        <f>$B2 * IFERROR(VLOOKUP("industry|PM25|Premature mortality", US_national_yearly!$D:$AM, 36, FALSE) / VLOOKUP("industry|PM25|Premature mortality", US_national_yearly!$D:$AM, 10, FALSE), 1)</f>
        <v>3.4249616481296506E-2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7.95181782649985E-5</v>
      </c>
      <c r="C3" s="7">
        <f>$B3 * IFERROR(VLOOKUP("industry|PM25|Infant mortality", US_national_yearly!$D:$AM, 11, FALSE) / VLOOKUP("industry|PM25|Infant mortality", US_national_yearly!$D:$AM, 10, FALSE), 1)</f>
        <v>7.8825825506088595E-5</v>
      </c>
      <c r="D3" s="7">
        <f>$B3 * IFERROR(VLOOKUP("industry|PM25|Infant mortality", US_national_yearly!$D:$AM, 12, FALSE) / VLOOKUP("industry|PM25|Infant mortality", US_national_yearly!$D:$AM, 10, FALSE), 1)</f>
        <v>7.8133472747178676E-5</v>
      </c>
      <c r="E3" s="7">
        <f>$B3 * IFERROR(VLOOKUP("industry|PM25|Infant mortality", US_national_yearly!$D:$AM, 13, FALSE) / VLOOKUP("industry|PM25|Infant mortality", US_national_yearly!$D:$AM, 10, FALSE), 1)</f>
        <v>7.7441119988268744E-5</v>
      </c>
      <c r="F3" s="7">
        <f>$B3 * IFERROR(VLOOKUP("industry|PM25|Infant mortality", US_national_yearly!$D:$AM, 14, FALSE) / VLOOKUP("industry|PM25|Infant mortality", US_national_yearly!$D:$AM, 10, FALSE), 1)</f>
        <v>7.6748767229358839E-5</v>
      </c>
      <c r="G3" s="7">
        <f>$B3 * IFERROR(VLOOKUP("industry|PM25|Infant mortality", US_national_yearly!$D:$AM, 15, FALSE) / VLOOKUP("industry|PM25|Infant mortality", US_national_yearly!$D:$AM, 10, FALSE), 1)</f>
        <v>5.099456738288424E-5</v>
      </c>
      <c r="H3" s="7">
        <f>$B3 * IFERROR(VLOOKUP("industry|PM25|Infant mortality", US_national_yearly!$D:$AM, 16, FALSE) / VLOOKUP("industry|PM25|Infant mortality", US_national_yearly!$D:$AM, 10, FALSE), 1)</f>
        <v>2.5240367536409634E-5</v>
      </c>
      <c r="I3" s="7">
        <f>$B3 * IFERROR(VLOOKUP("industry|PM25|Infant mortality", US_national_yearly!$D:$AM, 17, FALSE) / VLOOKUP("industry|PM25|Infant mortality", US_national_yearly!$D:$AM, 10, FALSE), 1)</f>
        <v>2.5072367995542689E-5</v>
      </c>
      <c r="J3" s="7">
        <f>$B3 * IFERROR(VLOOKUP("industry|PM25|Infant mortality", US_national_yearly!$D:$AM, 18, FALSE) / VLOOKUP("industry|PM25|Infant mortality", US_national_yearly!$D:$AM, 10, FALSE), 1)</f>
        <v>2.4904368454675747E-5</v>
      </c>
      <c r="K3" s="7">
        <f>$B3 * IFERROR(VLOOKUP("industry|PM25|Infant mortality", US_national_yearly!$D:$AM, 19, FALSE) / VLOOKUP("industry|PM25|Infant mortality", US_national_yearly!$D:$AM, 10, FALSE), 1)</f>
        <v>2.4736368913808805E-5</v>
      </c>
      <c r="L3" s="7">
        <f>$B3 * IFERROR(VLOOKUP("industry|PM25|Infant mortality", US_national_yearly!$D:$AM, 20, FALSE) / VLOOKUP("industry|PM25|Infant mortality", US_national_yearly!$D:$AM, 10, FALSE), 1)</f>
        <v>2.4568369372941856E-5</v>
      </c>
      <c r="M3" s="7">
        <f>$B3 * IFERROR(VLOOKUP("industry|PM25|Infant mortality", US_national_yearly!$D:$AM, 21, FALSE) / VLOOKUP("industry|PM25|Infant mortality", US_national_yearly!$D:$AM, 10, FALSE), 1)</f>
        <v>2.4400369832074918E-5</v>
      </c>
      <c r="N3" s="7">
        <f>$B3 * IFERROR(VLOOKUP("industry|PM25|Infant mortality", US_national_yearly!$D:$AM, 22, FALSE) / VLOOKUP("industry|PM25|Infant mortality", US_national_yearly!$D:$AM, 10, FALSE), 1)</f>
        <v>2.4293169765351895E-5</v>
      </c>
      <c r="O3" s="7">
        <f>$B3 * IFERROR(VLOOKUP("industry|PM25|Infant mortality", US_national_yearly!$D:$AM, 23, FALSE) / VLOOKUP("industry|PM25|Infant mortality", US_national_yearly!$D:$AM, 10, FALSE), 1)</f>
        <v>2.4185969698628879E-5</v>
      </c>
      <c r="P3" s="7">
        <f>$B3 * IFERROR(VLOOKUP("industry|PM25|Infant mortality", US_national_yearly!$D:$AM, 24, FALSE) / VLOOKUP("industry|PM25|Infant mortality", US_national_yearly!$D:$AM, 10, FALSE), 1)</f>
        <v>2.4078769631905863E-5</v>
      </c>
      <c r="Q3" s="7">
        <f>$B3 * IFERROR(VLOOKUP("industry|PM25|Infant mortality", US_national_yearly!$D:$AM, 25, FALSE) / VLOOKUP("industry|PM25|Infant mortality", US_national_yearly!$D:$AM, 10, FALSE), 1)</f>
        <v>2.3971569565182847E-5</v>
      </c>
      <c r="R3" s="7">
        <f>$B3 * IFERROR(VLOOKUP("industry|PM25|Infant mortality", US_national_yearly!$D:$AM, 26, FALSE) / VLOOKUP("industry|PM25|Infant mortality", US_national_yearly!$D:$AM, 10, FALSE), 1)</f>
        <v>2.3864369498459831E-5</v>
      </c>
      <c r="S3" s="7">
        <f>$B3 * IFERROR(VLOOKUP("industry|PM25|Infant mortality", US_national_yearly!$D:$AM, 27, FALSE) / VLOOKUP("industry|PM25|Infant mortality", US_national_yearly!$D:$AM, 10, FALSE), 1)</f>
        <v>2.3732523095524164E-5</v>
      </c>
      <c r="T3" s="7">
        <f>$B3 * IFERROR(VLOOKUP("industry|PM25|Infant mortality", US_national_yearly!$D:$AM, 28, FALSE) / VLOOKUP("industry|PM25|Infant mortality", US_national_yearly!$D:$AM, 10, FALSE), 1)</f>
        <v>2.3600676692588504E-5</v>
      </c>
      <c r="U3" s="7">
        <f>$B3 * IFERROR(VLOOKUP("industry|PM25|Infant mortality", US_national_yearly!$D:$AM, 29, FALSE) / VLOOKUP("industry|PM25|Infant mortality", US_national_yearly!$D:$AM, 10, FALSE), 1)</f>
        <v>2.346883028965284E-5</v>
      </c>
      <c r="V3" s="7">
        <f>$B3 * IFERROR(VLOOKUP("industry|PM25|Infant mortality", US_national_yearly!$D:$AM, 30, FALSE) / VLOOKUP("industry|PM25|Infant mortality", US_national_yearly!$D:$AM, 10, FALSE), 1)</f>
        <v>2.333698388671718E-5</v>
      </c>
      <c r="W3" s="7">
        <f>$B3 * IFERROR(VLOOKUP("industry|PM25|Infant mortality", US_national_yearly!$D:$AM, 31, FALSE) / VLOOKUP("industry|PM25|Infant mortality", US_national_yearly!$D:$AM, 10, FALSE), 1)</f>
        <v>2.320513748378152E-5</v>
      </c>
      <c r="X3" s="7">
        <f>$B3 * IFERROR(VLOOKUP("industry|PM25|Infant mortality", US_national_yearly!$D:$AM, 32, FALSE) / VLOOKUP("industry|PM25|Infant mortality", US_national_yearly!$D:$AM, 10, FALSE), 1)</f>
        <v>2.3064243081432805E-5</v>
      </c>
      <c r="Y3" s="7">
        <f>$B3 * IFERROR(VLOOKUP("industry|PM25|Infant mortality", US_national_yearly!$D:$AM, 33, FALSE) / VLOOKUP("industry|PM25|Infant mortality", US_national_yearly!$D:$AM, 10, FALSE), 1)</f>
        <v>2.2923348679084091E-5</v>
      </c>
      <c r="Z3" s="7">
        <f>$B3 * IFERROR(VLOOKUP("industry|PM25|Infant mortality", US_national_yearly!$D:$AM, 34, FALSE) / VLOOKUP("industry|PM25|Infant mortality", US_national_yearly!$D:$AM, 10, FALSE), 1)</f>
        <v>2.2782454276735376E-5</v>
      </c>
      <c r="AA3" s="7">
        <f>$B3 * IFERROR(VLOOKUP("industry|PM25|Infant mortality", US_national_yearly!$D:$AM, 35, FALSE) / VLOOKUP("industry|PM25|Infant mortality", US_national_yearly!$D:$AM, 10, FALSE), 1)</f>
        <v>2.2641559874386665E-5</v>
      </c>
      <c r="AB3" s="7">
        <f>$B3 * IFERROR(VLOOKUP("industry|PM25|Infant mortality", US_national_yearly!$D:$AM, 36, FALSE) / VLOOKUP("industry|PM25|Infant mortality", US_national_yearly!$D:$AM, 10, FALSE), 1)</f>
        <v>2.250066547203795E-5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7.0193181662168785E-2</v>
      </c>
      <c r="C6" s="7">
        <f>$B6 * IFERROR(VLOOKUP("industry|PM25|Asthma symptoms cough", US_national_yearly!$D:$AM, 11, FALSE) / VLOOKUP("industry|PM25|Asthma symptoms cough", US_national_yearly!$D:$AM, 10, FALSE), 1)</f>
        <v>7.0193181662168785E-2</v>
      </c>
      <c r="D6" s="7">
        <f>$B6 * IFERROR(VLOOKUP("industry|PM25|Asthma symptoms cough", US_national_yearly!$D:$AM, 12, FALSE) / VLOOKUP("industry|PM25|Asthma symptoms cough", US_national_yearly!$D:$AM, 10, FALSE), 1)</f>
        <v>7.0193181662168785E-2</v>
      </c>
      <c r="E6" s="7">
        <f>$B6 * IFERROR(VLOOKUP("industry|PM25|Asthma symptoms cough", US_national_yearly!$D:$AM, 13, FALSE) / VLOOKUP("industry|PM25|Asthma symptoms cough", US_national_yearly!$D:$AM, 10, FALSE), 1)</f>
        <v>7.0193181662168785E-2</v>
      </c>
      <c r="F6" s="7">
        <f>$B6 * IFERROR(VLOOKUP("industry|PM25|Asthma symptoms cough", US_national_yearly!$D:$AM, 14, FALSE) / VLOOKUP("industry|PM25|Asthma symptoms cough", US_national_yearly!$D:$AM, 10, FALSE), 1)</f>
        <v>7.0193181662168785E-2</v>
      </c>
      <c r="G6" s="7">
        <f>$B6 * IFERROR(VLOOKUP("industry|PM25|Asthma symptoms cough", US_national_yearly!$D:$AM, 15, FALSE) / VLOOKUP("industry|PM25|Asthma symptoms cough", US_national_yearly!$D:$AM, 10, FALSE), 1)</f>
        <v>7.0193181662168785E-2</v>
      </c>
      <c r="H6" s="7">
        <f>$B6 * IFERROR(VLOOKUP("industry|PM25|Asthma symptoms cough", US_national_yearly!$D:$AM, 16, FALSE) / VLOOKUP("industry|PM25|Asthma symptoms cough", US_national_yearly!$D:$AM, 10, FALSE), 1)</f>
        <v>7.0193181662168785E-2</v>
      </c>
      <c r="I6" s="7">
        <f>$B6 * IFERROR(VLOOKUP("industry|PM25|Asthma symptoms cough", US_national_yearly!$D:$AM, 17, FALSE) / VLOOKUP("industry|PM25|Asthma symptoms cough", US_national_yearly!$D:$AM, 10, FALSE), 1)</f>
        <v>7.0193181662168785E-2</v>
      </c>
      <c r="J6" s="7">
        <f>$B6 * IFERROR(VLOOKUP("industry|PM25|Asthma symptoms cough", US_national_yearly!$D:$AM, 18, FALSE) / VLOOKUP("industry|PM25|Asthma symptoms cough", US_national_yearly!$D:$AM, 10, FALSE), 1)</f>
        <v>7.0193181662168785E-2</v>
      </c>
      <c r="K6" s="7">
        <f>$B6 * IFERROR(VLOOKUP("industry|PM25|Asthma symptoms cough", US_national_yearly!$D:$AM, 19, FALSE) / VLOOKUP("industry|PM25|Asthma symptoms cough", US_national_yearly!$D:$AM, 10, FALSE), 1)</f>
        <v>7.0193181662168785E-2</v>
      </c>
      <c r="L6" s="7">
        <f>$B6 * IFERROR(VLOOKUP("industry|PM25|Asthma symptoms cough", US_national_yearly!$D:$AM, 20, FALSE) / VLOOKUP("industry|PM25|Asthma symptoms cough", US_national_yearly!$D:$AM, 10, FALSE), 1)</f>
        <v>7.0193181662168785E-2</v>
      </c>
      <c r="M6" s="7">
        <f>$B6 * IFERROR(VLOOKUP("industry|PM25|Asthma symptoms cough", US_national_yearly!$D:$AM, 21, FALSE) / VLOOKUP("industry|PM25|Asthma symptoms cough", US_national_yearly!$D:$AM, 10, FALSE), 1)</f>
        <v>7.0193181662168785E-2</v>
      </c>
      <c r="N6" s="7">
        <f>$B6 * IFERROR(VLOOKUP("industry|PM25|Asthma symptoms cough", US_national_yearly!$D:$AM, 22, FALSE) / VLOOKUP("industry|PM25|Asthma symptoms cough", US_national_yearly!$D:$AM, 10, FALSE), 1)</f>
        <v>7.0193181662168785E-2</v>
      </c>
      <c r="O6" s="7">
        <f>$B6 * IFERROR(VLOOKUP("industry|PM25|Asthma symptoms cough", US_national_yearly!$D:$AM, 23, FALSE) / VLOOKUP("industry|PM25|Asthma symptoms cough", US_national_yearly!$D:$AM, 10, FALSE), 1)</f>
        <v>7.0193181662168785E-2</v>
      </c>
      <c r="P6" s="7">
        <f>$B6 * IFERROR(VLOOKUP("industry|PM25|Asthma symptoms cough", US_national_yearly!$D:$AM, 24, FALSE) / VLOOKUP("industry|PM25|Asthma symptoms cough", US_national_yearly!$D:$AM, 10, FALSE), 1)</f>
        <v>7.0193181662168785E-2</v>
      </c>
      <c r="Q6" s="7">
        <f>$B6 * IFERROR(VLOOKUP("industry|PM25|Asthma symptoms cough", US_national_yearly!$D:$AM, 25, FALSE) / VLOOKUP("industry|PM25|Asthma symptoms cough", US_national_yearly!$D:$AM, 10, FALSE), 1)</f>
        <v>7.0193181662168785E-2</v>
      </c>
      <c r="R6" s="7">
        <f>$B6 * IFERROR(VLOOKUP("industry|PM25|Asthma symptoms cough", US_national_yearly!$D:$AM, 26, FALSE) / VLOOKUP("industry|PM25|Asthma symptoms cough", US_national_yearly!$D:$AM, 10, FALSE), 1)</f>
        <v>7.0193181662168785E-2</v>
      </c>
      <c r="S6" s="7">
        <f>$B6 * IFERROR(VLOOKUP("industry|PM25|Asthma symptoms cough", US_national_yearly!$D:$AM, 27, FALSE) / VLOOKUP("industry|PM25|Asthma symptoms cough", US_national_yearly!$D:$AM, 10, FALSE), 1)</f>
        <v>7.0193181662168785E-2</v>
      </c>
      <c r="T6" s="7">
        <f>$B6 * IFERROR(VLOOKUP("industry|PM25|Asthma symptoms cough", US_national_yearly!$D:$AM, 28, FALSE) / VLOOKUP("industry|PM25|Asthma symptoms cough", US_national_yearly!$D:$AM, 10, FALSE), 1)</f>
        <v>7.0193181662168785E-2</v>
      </c>
      <c r="U6" s="7">
        <f>$B6 * IFERROR(VLOOKUP("industry|PM25|Asthma symptoms cough", US_national_yearly!$D:$AM, 29, FALSE) / VLOOKUP("industry|PM25|Asthma symptoms cough", US_national_yearly!$D:$AM, 10, FALSE), 1)</f>
        <v>7.0193181662168785E-2</v>
      </c>
      <c r="V6" s="7">
        <f>$B6 * IFERROR(VLOOKUP("industry|PM25|Asthma symptoms cough", US_national_yearly!$D:$AM, 30, FALSE) / VLOOKUP("industry|PM25|Asthma symptoms cough", US_national_yearly!$D:$AM, 10, FALSE), 1)</f>
        <v>7.0193181662168785E-2</v>
      </c>
      <c r="W6" s="7">
        <f>$B6 * IFERROR(VLOOKUP("industry|PM25|Asthma symptoms cough", US_national_yearly!$D:$AM, 31, FALSE) / VLOOKUP("industry|PM25|Asthma symptoms cough", US_national_yearly!$D:$AM, 10, FALSE), 1)</f>
        <v>7.0193181662168785E-2</v>
      </c>
      <c r="X6" s="7">
        <f>$B6 * IFERROR(VLOOKUP("industry|PM25|Asthma symptoms cough", US_national_yearly!$D:$AM, 32, FALSE) / VLOOKUP("industry|PM25|Asthma symptoms cough", US_national_yearly!$D:$AM, 10, FALSE), 1)</f>
        <v>7.0193181662168785E-2</v>
      </c>
      <c r="Y6" s="7">
        <f>$B6 * IFERROR(VLOOKUP("industry|PM25|Asthma symptoms cough", US_national_yearly!$D:$AM, 33, FALSE) / VLOOKUP("industry|PM25|Asthma symptoms cough", US_national_yearly!$D:$AM, 10, FALSE), 1)</f>
        <v>7.0193181662168785E-2</v>
      </c>
      <c r="Z6" s="7">
        <f>$B6 * IFERROR(VLOOKUP("industry|PM25|Asthma symptoms cough", US_national_yearly!$D:$AM, 34, FALSE) / VLOOKUP("industry|PM25|Asthma symptoms cough", US_national_yearly!$D:$AM, 10, FALSE), 1)</f>
        <v>7.0193181662168785E-2</v>
      </c>
      <c r="AA6" s="7">
        <f>$B6 * IFERROR(VLOOKUP("industry|PM25|Asthma symptoms cough", US_national_yearly!$D:$AM, 35, FALSE) / VLOOKUP("industry|PM25|Asthma symptoms cough", US_national_yearly!$D:$AM, 10, FALSE), 1)</f>
        <v>7.0193181662168785E-2</v>
      </c>
      <c r="AB6" s="7">
        <f>$B6 * IFERROR(VLOOKUP("industry|PM25|Asthma symptoms cough", US_national_yearly!$D:$AM, 36, FALSE) / VLOOKUP("industry|PM25|Asthma symptoms cough", US_national_yearly!$D:$AM, 10, FALSE), 1)</f>
        <v>7.0193181662168785E-2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9.4517232546897631E-2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9.4517232546897631E-2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9.4517232546897631E-2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9.4517232546897631E-2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9.4517232546897631E-2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9.4517232546897631E-2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9.4517232546897631E-2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9.4517232546897631E-2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9.4517232546897631E-2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9.4517232546897631E-2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9.4517232546897631E-2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9.4517232546897631E-2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9.4517232546897631E-2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9.4517232546897631E-2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9.4517232546897631E-2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9.4517232546897631E-2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9.4517232546897631E-2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9.4517232546897631E-2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9.4517232546897631E-2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9.4517232546897631E-2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9.4517232546897631E-2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9.4517232546897631E-2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9.4517232546897631E-2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9.4517232546897631E-2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9.4517232546897631E-2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9.4517232546897631E-2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9.4517232546897631E-2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0.14443507376940046</v>
      </c>
      <c r="C8" s="7">
        <f>$B8 * IFERROR(VLOOKUP("industry|PM25|Asthma symptoms wheeze", US_national_yearly!$D:$AM, 11, FALSE) / VLOOKUP("industry|PM25|Asthma symptoms wheeze", US_national_yearly!$D:$AM, 10, FALSE), 1)</f>
        <v>0.14443507376940046</v>
      </c>
      <c r="D8" s="7">
        <f>$B8 * IFERROR(VLOOKUP("industry|PM25|Asthma symptoms wheeze", US_national_yearly!$D:$AM, 12, FALSE) / VLOOKUP("industry|PM25|Asthma symptoms wheeze", US_national_yearly!$D:$AM, 10, FALSE), 1)</f>
        <v>0.14443507376940046</v>
      </c>
      <c r="E8" s="7">
        <f>$B8 * IFERROR(VLOOKUP("industry|PM25|Asthma symptoms wheeze", US_national_yearly!$D:$AM, 13, FALSE) / VLOOKUP("industry|PM25|Asthma symptoms wheeze", US_national_yearly!$D:$AM, 10, FALSE), 1)</f>
        <v>0.14443507376940046</v>
      </c>
      <c r="F8" s="7">
        <f>$B8 * IFERROR(VLOOKUP("industry|PM25|Asthma symptoms wheeze", US_national_yearly!$D:$AM, 14, FALSE) / VLOOKUP("industry|PM25|Asthma symptoms wheeze", US_national_yearly!$D:$AM, 10, FALSE), 1)</f>
        <v>0.14443507376940046</v>
      </c>
      <c r="G8" s="7">
        <f>$B8 * IFERROR(VLOOKUP("industry|PM25|Asthma symptoms wheeze", US_national_yearly!$D:$AM, 15, FALSE) / VLOOKUP("industry|PM25|Asthma symptoms wheeze", US_national_yearly!$D:$AM, 10, FALSE), 1)</f>
        <v>0.14443507376940046</v>
      </c>
      <c r="H8" s="7">
        <f>$B8 * IFERROR(VLOOKUP("industry|PM25|Asthma symptoms wheeze", US_national_yearly!$D:$AM, 16, FALSE) / VLOOKUP("industry|PM25|Asthma symptoms wheeze", US_national_yearly!$D:$AM, 10, FALSE), 1)</f>
        <v>0.14443507376940046</v>
      </c>
      <c r="I8" s="7">
        <f>$B8 * IFERROR(VLOOKUP("industry|PM25|Asthma symptoms wheeze", US_national_yearly!$D:$AM, 17, FALSE) / VLOOKUP("industry|PM25|Asthma symptoms wheeze", US_national_yearly!$D:$AM, 10, FALSE), 1)</f>
        <v>0.14443507376940046</v>
      </c>
      <c r="J8" s="7">
        <f>$B8 * IFERROR(VLOOKUP("industry|PM25|Asthma symptoms wheeze", US_national_yearly!$D:$AM, 18, FALSE) / VLOOKUP("industry|PM25|Asthma symptoms wheeze", US_national_yearly!$D:$AM, 10, FALSE), 1)</f>
        <v>0.14443507376940046</v>
      </c>
      <c r="K8" s="7">
        <f>$B8 * IFERROR(VLOOKUP("industry|PM25|Asthma symptoms wheeze", US_national_yearly!$D:$AM, 19, FALSE) / VLOOKUP("industry|PM25|Asthma symptoms wheeze", US_national_yearly!$D:$AM, 10, FALSE), 1)</f>
        <v>0.14443507376940046</v>
      </c>
      <c r="L8" s="7">
        <f>$B8 * IFERROR(VLOOKUP("industry|PM25|Asthma symptoms wheeze", US_national_yearly!$D:$AM, 20, FALSE) / VLOOKUP("industry|PM25|Asthma symptoms wheeze", US_national_yearly!$D:$AM, 10, FALSE), 1)</f>
        <v>0.14443507376940046</v>
      </c>
      <c r="M8" s="7">
        <f>$B8 * IFERROR(VLOOKUP("industry|PM25|Asthma symptoms wheeze", US_national_yearly!$D:$AM, 21, FALSE) / VLOOKUP("industry|PM25|Asthma symptoms wheeze", US_national_yearly!$D:$AM, 10, FALSE), 1)</f>
        <v>0.14443507376940046</v>
      </c>
      <c r="N8" s="7">
        <f>$B8 * IFERROR(VLOOKUP("industry|PM25|Asthma symptoms wheeze", US_national_yearly!$D:$AM, 22, FALSE) / VLOOKUP("industry|PM25|Asthma symptoms wheeze", US_national_yearly!$D:$AM, 10, FALSE), 1)</f>
        <v>0.14443507376940046</v>
      </c>
      <c r="O8" s="7">
        <f>$B8 * IFERROR(VLOOKUP("industry|PM25|Asthma symptoms wheeze", US_national_yearly!$D:$AM, 23, FALSE) / VLOOKUP("industry|PM25|Asthma symptoms wheeze", US_national_yearly!$D:$AM, 10, FALSE), 1)</f>
        <v>0.14443507376940046</v>
      </c>
      <c r="P8" s="7">
        <f>$B8 * IFERROR(VLOOKUP("industry|PM25|Asthma symptoms wheeze", US_national_yearly!$D:$AM, 24, FALSE) / VLOOKUP("industry|PM25|Asthma symptoms wheeze", US_national_yearly!$D:$AM, 10, FALSE), 1)</f>
        <v>0.14443507376940046</v>
      </c>
      <c r="Q8" s="7">
        <f>$B8 * IFERROR(VLOOKUP("industry|PM25|Asthma symptoms wheeze", US_national_yearly!$D:$AM, 25, FALSE) / VLOOKUP("industry|PM25|Asthma symptoms wheeze", US_national_yearly!$D:$AM, 10, FALSE), 1)</f>
        <v>0.14443507376940046</v>
      </c>
      <c r="R8" s="7">
        <f>$B8 * IFERROR(VLOOKUP("industry|PM25|Asthma symptoms wheeze", US_national_yearly!$D:$AM, 26, FALSE) / VLOOKUP("industry|PM25|Asthma symptoms wheeze", US_national_yearly!$D:$AM, 10, FALSE), 1)</f>
        <v>0.14443507376940046</v>
      </c>
      <c r="S8" s="7">
        <f>$B8 * IFERROR(VLOOKUP("industry|PM25|Asthma symptoms wheeze", US_national_yearly!$D:$AM, 27, FALSE) / VLOOKUP("industry|PM25|Asthma symptoms wheeze", US_national_yearly!$D:$AM, 10, FALSE), 1)</f>
        <v>0.14443507376940046</v>
      </c>
      <c r="T8" s="7">
        <f>$B8 * IFERROR(VLOOKUP("industry|PM25|Asthma symptoms wheeze", US_national_yearly!$D:$AM, 28, FALSE) / VLOOKUP("industry|PM25|Asthma symptoms wheeze", US_national_yearly!$D:$AM, 10, FALSE), 1)</f>
        <v>0.14443507376940046</v>
      </c>
      <c r="U8" s="7">
        <f>$B8 * IFERROR(VLOOKUP("industry|PM25|Asthma symptoms wheeze", US_national_yearly!$D:$AM, 29, FALSE) / VLOOKUP("industry|PM25|Asthma symptoms wheeze", US_national_yearly!$D:$AM, 10, FALSE), 1)</f>
        <v>0.14443507376940046</v>
      </c>
      <c r="V8" s="7">
        <f>$B8 * IFERROR(VLOOKUP("industry|PM25|Asthma symptoms wheeze", US_national_yearly!$D:$AM, 30, FALSE) / VLOOKUP("industry|PM25|Asthma symptoms wheeze", US_national_yearly!$D:$AM, 10, FALSE), 1)</f>
        <v>0.14443507376940046</v>
      </c>
      <c r="W8" s="7">
        <f>$B8 * IFERROR(VLOOKUP("industry|PM25|Asthma symptoms wheeze", US_national_yearly!$D:$AM, 31, FALSE) / VLOOKUP("industry|PM25|Asthma symptoms wheeze", US_national_yearly!$D:$AM, 10, FALSE), 1)</f>
        <v>0.14443507376940046</v>
      </c>
      <c r="X8" s="7">
        <f>$B8 * IFERROR(VLOOKUP("industry|PM25|Asthma symptoms wheeze", US_national_yearly!$D:$AM, 32, FALSE) / VLOOKUP("industry|PM25|Asthma symptoms wheeze", US_national_yearly!$D:$AM, 10, FALSE), 1)</f>
        <v>0.14443507376940046</v>
      </c>
      <c r="Y8" s="7">
        <f>$B8 * IFERROR(VLOOKUP("industry|PM25|Asthma symptoms wheeze", US_national_yearly!$D:$AM, 33, FALSE) / VLOOKUP("industry|PM25|Asthma symptoms wheeze", US_national_yearly!$D:$AM, 10, FALSE), 1)</f>
        <v>0.14443507376940046</v>
      </c>
      <c r="Z8" s="7">
        <f>$B8 * IFERROR(VLOOKUP("industry|PM25|Asthma symptoms wheeze", US_national_yearly!$D:$AM, 34, FALSE) / VLOOKUP("industry|PM25|Asthma symptoms wheeze", US_national_yearly!$D:$AM, 10, FALSE), 1)</f>
        <v>0.14443507376940046</v>
      </c>
      <c r="AA8" s="7">
        <f>$B8 * IFERROR(VLOOKUP("industry|PM25|Asthma symptoms wheeze", US_national_yearly!$D:$AM, 35, FALSE) / VLOOKUP("industry|PM25|Asthma symptoms wheeze", US_national_yearly!$D:$AM, 10, FALSE), 1)</f>
        <v>0.14443507376940046</v>
      </c>
      <c r="AB8" s="7">
        <f>$B8 * IFERROR(VLOOKUP("industry|PM25|Asthma symptoms wheeze", US_national_yearly!$D:$AM, 36, FALSE) / VLOOKUP("industry|PM25|Asthma symptoms wheeze", US_national_yearly!$D:$AM, 10, FALSE), 1)</f>
        <v>0.14443507376940046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1.8280977849106739E-3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1.8384769264586105E-3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1.8488560680065469E-3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1.8592352095544835E-3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1.8696143511024205E-3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1.8808361608477293E-3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1.8920579705930384E-3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1.9027032689125107E-3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1.913348567231983E-3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1.9239938655514549E-3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1.934639163870927E-3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1.9452844621903993E-3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1.952813583491616E-3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1.9603427047928321E-3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1.967871826094049E-3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1.9754009473952651E-3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1.982930068696482E-3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1.9900313612127725E-3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1.9971326537290631E-3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2.004233946245354E-3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2.0113352387616445E-3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2.0184365312779355E-3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2.0252740435408806E-3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2.0321115558038258E-3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2.0389490680667714E-3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2.045786580329717E-3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2.0526240925926621E-3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1.1632642168229493E-2</v>
      </c>
      <c r="C13" s="7">
        <f>$B13 * IFERROR(VLOOKUP("industry|PM25|Non-fatal heart attacks", US_national_yearly!$D:$AM, 11, FALSE) / VLOOKUP("industry|PM25|Non-fatal heart attacks", US_national_yearly!$D:$AM, 10, FALSE), 1)</f>
        <v>1.1971271431894207E-2</v>
      </c>
      <c r="D13" s="7">
        <f>$B13 * IFERROR(VLOOKUP("industry|PM25|Non-fatal heart attacks", US_national_yearly!$D:$AM, 12, FALSE) / VLOOKUP("industry|PM25|Non-fatal heart attacks", US_national_yearly!$D:$AM, 10, FALSE), 1)</f>
        <v>1.2309900695558916E-2</v>
      </c>
      <c r="E13" s="7">
        <f>$B13 * IFERROR(VLOOKUP("industry|PM25|Non-fatal heart attacks", US_national_yearly!$D:$AM, 13, FALSE) / VLOOKUP("industry|PM25|Non-fatal heart attacks", US_national_yearly!$D:$AM, 10, FALSE), 1)</f>
        <v>1.2648529959223628E-2</v>
      </c>
      <c r="F13" s="7">
        <f>$B13 * IFERROR(VLOOKUP("industry|PM25|Non-fatal heart attacks", US_national_yearly!$D:$AM, 14, FALSE) / VLOOKUP("industry|PM25|Non-fatal heart attacks", US_national_yearly!$D:$AM, 10, FALSE), 1)</f>
        <v>1.2987159222888341E-2</v>
      </c>
      <c r="G13" s="7">
        <f>$B13 * IFERROR(VLOOKUP("industry|PM25|Non-fatal heart attacks", US_national_yearly!$D:$AM, 15, FALSE) / VLOOKUP("industry|PM25|Non-fatal heart attacks", US_national_yearly!$D:$AM, 10, FALSE), 1)</f>
        <v>1.3306849057904552E-2</v>
      </c>
      <c r="H13" s="7">
        <f>$B13 * IFERROR(VLOOKUP("industry|PM25|Non-fatal heart attacks", US_national_yearly!$D:$AM, 16, FALSE) / VLOOKUP("industry|PM25|Non-fatal heart attacks", US_national_yearly!$D:$AM, 10, FALSE), 1)</f>
        <v>1.3626538892920766E-2</v>
      </c>
      <c r="I13" s="7">
        <f>$B13 * IFERROR(VLOOKUP("industry|PM25|Non-fatal heart attacks", US_national_yearly!$D:$AM, 17, FALSE) / VLOOKUP("industry|PM25|Non-fatal heart attacks", US_national_yearly!$D:$AM, 10, FALSE), 1)</f>
        <v>1.3884691387106267E-2</v>
      </c>
      <c r="J13" s="7">
        <f>$B13 * IFERROR(VLOOKUP("industry|PM25|Non-fatal heart attacks", US_national_yearly!$D:$AM, 18, FALSE) / VLOOKUP("industry|PM25|Non-fatal heart attacks", US_national_yearly!$D:$AM, 10, FALSE), 1)</f>
        <v>1.4142843881291766E-2</v>
      </c>
      <c r="K13" s="7">
        <f>$B13 * IFERROR(VLOOKUP("industry|PM25|Non-fatal heart attacks", US_national_yearly!$D:$AM, 19, FALSE) / VLOOKUP("industry|PM25|Non-fatal heart attacks", US_national_yearly!$D:$AM, 10, FALSE), 1)</f>
        <v>1.4400996375477263E-2</v>
      </c>
      <c r="L13" s="7">
        <f>$B13 * IFERROR(VLOOKUP("industry|PM25|Non-fatal heart attacks", US_national_yearly!$D:$AM, 20, FALSE) / VLOOKUP("industry|PM25|Non-fatal heart attacks", US_national_yearly!$D:$AM, 10, FALSE), 1)</f>
        <v>1.4659148869662762E-2</v>
      </c>
      <c r="M13" s="7">
        <f>$B13 * IFERROR(VLOOKUP("industry|PM25|Non-fatal heart attacks", US_national_yearly!$D:$AM, 21, FALSE) / VLOOKUP("industry|PM25|Non-fatal heart attacks", US_national_yearly!$D:$AM, 10, FALSE), 1)</f>
        <v>1.491730136384826E-2</v>
      </c>
      <c r="N13" s="7">
        <f>$B13 * IFERROR(VLOOKUP("industry|PM25|Non-fatal heart attacks", US_national_yearly!$D:$AM, 22, FALSE) / VLOOKUP("industry|PM25|Non-fatal heart attacks", US_national_yearly!$D:$AM, 10, FALSE), 1)</f>
        <v>1.5084211328090645E-2</v>
      </c>
      <c r="O13" s="7">
        <f>$B13 * IFERROR(VLOOKUP("industry|PM25|Non-fatal heart attacks", US_national_yearly!$D:$AM, 23, FALSE) / VLOOKUP("industry|PM25|Non-fatal heart attacks", US_national_yearly!$D:$AM, 10, FALSE), 1)</f>
        <v>1.525112129233303E-2</v>
      </c>
      <c r="P13" s="7">
        <f>$B13 * IFERROR(VLOOKUP("industry|PM25|Non-fatal heart attacks", US_national_yearly!$D:$AM, 24, FALSE) / VLOOKUP("industry|PM25|Non-fatal heart attacks", US_national_yearly!$D:$AM, 10, FALSE), 1)</f>
        <v>1.5418031256575416E-2</v>
      </c>
      <c r="Q13" s="7">
        <f>$B13 * IFERROR(VLOOKUP("industry|PM25|Non-fatal heart attacks", US_national_yearly!$D:$AM, 25, FALSE) / VLOOKUP("industry|PM25|Non-fatal heart attacks", US_national_yearly!$D:$AM, 10, FALSE), 1)</f>
        <v>1.55849412208178E-2</v>
      </c>
      <c r="R13" s="7">
        <f>$B13 * IFERROR(VLOOKUP("industry|PM25|Non-fatal heart attacks", US_national_yearly!$D:$AM, 26, FALSE) / VLOOKUP("industry|PM25|Non-fatal heart attacks", US_national_yearly!$D:$AM, 10, FALSE), 1)</f>
        <v>1.5751851185060187E-2</v>
      </c>
      <c r="S13" s="7">
        <f>$B13 * IFERROR(VLOOKUP("industry|PM25|Non-fatal heart attacks", US_national_yearly!$D:$AM, 27, FALSE) / VLOOKUP("industry|PM25|Non-fatal heart attacks", US_national_yearly!$D:$AM, 10, FALSE), 1)</f>
        <v>1.5840998429492267E-2</v>
      </c>
      <c r="T13" s="7">
        <f>$B13 * IFERROR(VLOOKUP("industry|PM25|Non-fatal heart attacks", US_national_yearly!$D:$AM, 28, FALSE) / VLOOKUP("industry|PM25|Non-fatal heart attacks", US_national_yearly!$D:$AM, 10, FALSE), 1)</f>
        <v>1.5930145673924354E-2</v>
      </c>
      <c r="U13" s="7">
        <f>$B13 * IFERROR(VLOOKUP("industry|PM25|Non-fatal heart attacks", US_national_yearly!$D:$AM, 29, FALSE) / VLOOKUP("industry|PM25|Non-fatal heart attacks", US_national_yearly!$D:$AM, 10, FALSE), 1)</f>
        <v>1.6019292918356437E-2</v>
      </c>
      <c r="V13" s="7">
        <f>$B13 * IFERROR(VLOOKUP("industry|PM25|Non-fatal heart attacks", US_national_yearly!$D:$AM, 30, FALSE) / VLOOKUP("industry|PM25|Non-fatal heart attacks", US_national_yearly!$D:$AM, 10, FALSE), 1)</f>
        <v>1.610844016278852E-2</v>
      </c>
      <c r="W13" s="7">
        <f>$B13 * IFERROR(VLOOKUP("industry|PM25|Non-fatal heart attacks", US_national_yearly!$D:$AM, 31, FALSE) / VLOOKUP("industry|PM25|Non-fatal heart attacks", US_national_yearly!$D:$AM, 10, FALSE), 1)</f>
        <v>1.6197587407220607E-2</v>
      </c>
      <c r="X13" s="7">
        <f>$B13 * IFERROR(VLOOKUP("industry|PM25|Non-fatal heart attacks", US_national_yearly!$D:$AM, 32, FALSE) / VLOOKUP("industry|PM25|Non-fatal heart attacks", US_national_yearly!$D:$AM, 10, FALSE), 1)</f>
        <v>1.6266390675189295E-2</v>
      </c>
      <c r="Y13" s="7">
        <f>$B13 * IFERROR(VLOOKUP("industry|PM25|Non-fatal heart attacks", US_national_yearly!$D:$AM, 33, FALSE) / VLOOKUP("industry|PM25|Non-fatal heart attacks", US_national_yearly!$D:$AM, 10, FALSE), 1)</f>
        <v>1.633519394315798E-2</v>
      </c>
      <c r="Z13" s="7">
        <f>$B13 * IFERROR(VLOOKUP("industry|PM25|Non-fatal heart attacks", US_national_yearly!$D:$AM, 34, FALSE) / VLOOKUP("industry|PM25|Non-fatal heart attacks", US_national_yearly!$D:$AM, 10, FALSE), 1)</f>
        <v>1.6403997211126665E-2</v>
      </c>
      <c r="AA13" s="7">
        <f>$B13 * IFERROR(VLOOKUP("industry|PM25|Non-fatal heart attacks", US_national_yearly!$D:$AM, 35, FALSE) / VLOOKUP("industry|PM25|Non-fatal heart attacks", US_national_yearly!$D:$AM, 10, FALSE), 1)</f>
        <v>1.6472800479095353E-2</v>
      </c>
      <c r="AB13" s="7">
        <f>$B13 * IFERROR(VLOOKUP("industry|PM25|Non-fatal heart attacks", US_national_yearly!$D:$AM, 36, FALSE) / VLOOKUP("industry|PM25|Non-fatal heart attacks", US_national_yearly!$D:$AM, 10, FALSE), 1)</f>
        <v>1.6541603747064038E-2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8.8771047122380509</v>
      </c>
      <c r="C14" s="7">
        <f>$B14 * IFERROR(VLOOKUP("industry|PM25|Minor restricted activity days", US_national_yearly!$D:$AM, 11, FALSE) / VLOOKUP("industry|PM25|Minor restricted activity days", US_national_yearly!$D:$AM, 10, FALSE), 1)</f>
        <v>8.8988462131097616</v>
      </c>
      <c r="D14" s="7">
        <f>$B14 * IFERROR(VLOOKUP("industry|PM25|Minor restricted activity days", US_national_yearly!$D:$AM, 12, FALSE) / VLOOKUP("industry|PM25|Minor restricted activity days", US_national_yearly!$D:$AM, 10, FALSE), 1)</f>
        <v>8.920587713981476</v>
      </c>
      <c r="E14" s="7">
        <f>$B14 * IFERROR(VLOOKUP("industry|PM25|Minor restricted activity days", US_national_yearly!$D:$AM, 13, FALSE) / VLOOKUP("industry|PM25|Minor restricted activity days", US_national_yearly!$D:$AM, 10, FALSE), 1)</f>
        <v>8.9423292148531868</v>
      </c>
      <c r="F14" s="7">
        <f>$B14 * IFERROR(VLOOKUP("industry|PM25|Minor restricted activity days", US_national_yearly!$D:$AM, 14, FALSE) / VLOOKUP("industry|PM25|Minor restricted activity days", US_national_yearly!$D:$AM, 10, FALSE), 1)</f>
        <v>8.9640707157248993</v>
      </c>
      <c r="G14" s="7">
        <f>$B14 * IFERROR(VLOOKUP("industry|PM25|Minor restricted activity days", US_national_yearly!$D:$AM, 15, FALSE) / VLOOKUP("industry|PM25|Minor restricted activity days", US_national_yearly!$D:$AM, 10, FALSE), 1)</f>
        <v>8.9959837053873777</v>
      </c>
      <c r="H14" s="7">
        <f>$B14 * IFERROR(VLOOKUP("industry|PM25|Minor restricted activity days", US_national_yearly!$D:$AM, 16, FALSE) / VLOOKUP("industry|PM25|Minor restricted activity days", US_national_yearly!$D:$AM, 10, FALSE), 1)</f>
        <v>9.0278966950498525</v>
      </c>
      <c r="I14" s="7">
        <f>$B14 * IFERROR(VLOOKUP("industry|PM25|Minor restricted activity days", US_national_yearly!$D:$AM, 17, FALSE) / VLOOKUP("industry|PM25|Minor restricted activity days", US_national_yearly!$D:$AM, 10, FALSE), 1)</f>
        <v>9.0821086587819568</v>
      </c>
      <c r="J14" s="7">
        <f>$B14 * IFERROR(VLOOKUP("industry|PM25|Minor restricted activity days", US_national_yearly!$D:$AM, 18, FALSE) / VLOOKUP("industry|PM25|Minor restricted activity days", US_national_yearly!$D:$AM, 10, FALSE), 1)</f>
        <v>9.1363206225140612</v>
      </c>
      <c r="K14" s="7">
        <f>$B14 * IFERROR(VLOOKUP("industry|PM25|Minor restricted activity days", US_national_yearly!$D:$AM, 19, FALSE) / VLOOKUP("industry|PM25|Minor restricted activity days", US_national_yearly!$D:$AM, 10, FALSE), 1)</f>
        <v>9.1905325862461638</v>
      </c>
      <c r="L14" s="7">
        <f>$B14 * IFERROR(VLOOKUP("industry|PM25|Minor restricted activity days", US_national_yearly!$D:$AM, 20, FALSE) / VLOOKUP("industry|PM25|Minor restricted activity days", US_national_yearly!$D:$AM, 10, FALSE), 1)</f>
        <v>9.2447445499782663</v>
      </c>
      <c r="M14" s="7">
        <f>$B14 * IFERROR(VLOOKUP("industry|PM25|Minor restricted activity days", US_national_yearly!$D:$AM, 21, FALSE) / VLOOKUP("industry|PM25|Minor restricted activity days", US_national_yearly!$D:$AM, 10, FALSE), 1)</f>
        <v>9.2989565137103707</v>
      </c>
      <c r="N14" s="7">
        <f>$B14 * IFERROR(VLOOKUP("industry|PM25|Minor restricted activity days", US_national_yearly!$D:$AM, 22, FALSE) / VLOOKUP("industry|PM25|Minor restricted activity days", US_national_yearly!$D:$AM, 10, FALSE), 1)</f>
        <v>9.3730154091081488</v>
      </c>
      <c r="O14" s="7">
        <f>$B14 * IFERROR(VLOOKUP("industry|PM25|Minor restricted activity days", US_national_yearly!$D:$AM, 23, FALSE) / VLOOKUP("industry|PM25|Minor restricted activity days", US_national_yearly!$D:$AM, 10, FALSE), 1)</f>
        <v>9.4470743045059358</v>
      </c>
      <c r="P14" s="7">
        <f>$B14 * IFERROR(VLOOKUP("industry|PM25|Minor restricted activity days", US_national_yearly!$D:$AM, 24, FALSE) / VLOOKUP("industry|PM25|Minor restricted activity days", US_national_yearly!$D:$AM, 10, FALSE), 1)</f>
        <v>9.5211331999037139</v>
      </c>
      <c r="Q14" s="7">
        <f>$B14 * IFERROR(VLOOKUP("industry|PM25|Minor restricted activity days", US_national_yearly!$D:$AM, 25, FALSE) / VLOOKUP("industry|PM25|Minor restricted activity days", US_national_yearly!$D:$AM, 10, FALSE), 1)</f>
        <v>9.5951920953015026</v>
      </c>
      <c r="R14" s="7">
        <f>$B14 * IFERROR(VLOOKUP("industry|PM25|Minor restricted activity days", US_national_yearly!$D:$AM, 26, FALSE) / VLOOKUP("industry|PM25|Minor restricted activity days", US_national_yearly!$D:$AM, 10, FALSE), 1)</f>
        <v>9.6692509906992825</v>
      </c>
      <c r="S14" s="7">
        <f>$B14 * IFERROR(VLOOKUP("industry|PM25|Minor restricted activity days", US_national_yearly!$D:$AM, 27, FALSE) / VLOOKUP("industry|PM25|Minor restricted activity days", US_national_yearly!$D:$AM, 10, FALSE), 1)</f>
        <v>9.7440208804570929</v>
      </c>
      <c r="T14" s="7">
        <f>$B14 * IFERROR(VLOOKUP("industry|PM25|Minor restricted activity days", US_national_yearly!$D:$AM, 28, FALSE) / VLOOKUP("industry|PM25|Minor restricted activity days", US_national_yearly!$D:$AM, 10, FALSE), 1)</f>
        <v>9.8187907702149069</v>
      </c>
      <c r="U14" s="7">
        <f>$B14 * IFERROR(VLOOKUP("industry|PM25|Minor restricted activity days", US_national_yearly!$D:$AM, 29, FALSE) / VLOOKUP("industry|PM25|Minor restricted activity days", US_national_yearly!$D:$AM, 10, FALSE), 1)</f>
        <v>9.8935606599727173</v>
      </c>
      <c r="V14" s="7">
        <f>$B14 * IFERROR(VLOOKUP("industry|PM25|Minor restricted activity days", US_national_yearly!$D:$AM, 30, FALSE) / VLOOKUP("industry|PM25|Minor restricted activity days", US_national_yearly!$D:$AM, 10, FALSE), 1)</f>
        <v>9.9683305497305295</v>
      </c>
      <c r="W14" s="7">
        <f>$B14 * IFERROR(VLOOKUP("industry|PM25|Minor restricted activity days", US_national_yearly!$D:$AM, 31, FALSE) / VLOOKUP("industry|PM25|Minor restricted activity days", US_national_yearly!$D:$AM, 10, FALSE), 1)</f>
        <v>10.043100439488343</v>
      </c>
      <c r="X14" s="7">
        <f>$B14 * IFERROR(VLOOKUP("industry|PM25|Minor restricted activity days", US_national_yearly!$D:$AM, 32, FALSE) / VLOOKUP("industry|PM25|Minor restricted activity days", US_national_yearly!$D:$AM, 10, FALSE), 1)</f>
        <v>10.108072735391762</v>
      </c>
      <c r="Y14" s="7">
        <f>$B14 * IFERROR(VLOOKUP("industry|PM25|Minor restricted activity days", US_national_yearly!$D:$AM, 33, FALSE) / VLOOKUP("industry|PM25|Minor restricted activity days", US_national_yearly!$D:$AM, 10, FALSE), 1)</f>
        <v>10.173045031295182</v>
      </c>
      <c r="Z14" s="7">
        <f>$B14 * IFERROR(VLOOKUP("industry|PM25|Minor restricted activity days", US_national_yearly!$D:$AM, 34, FALSE) / VLOOKUP("industry|PM25|Minor restricted activity days", US_national_yearly!$D:$AM, 10, FALSE), 1)</f>
        <v>10.238017327198603</v>
      </c>
      <c r="AA14" s="7">
        <f>$B14 * IFERROR(VLOOKUP("industry|PM25|Minor restricted activity days", US_national_yearly!$D:$AM, 35, FALSE) / VLOOKUP("industry|PM25|Minor restricted activity days", US_national_yearly!$D:$AM, 10, FALSE), 1)</f>
        <v>10.302989623102023</v>
      </c>
      <c r="AB14" s="7">
        <f>$B14 * IFERROR(VLOOKUP("industry|PM25|Minor restricted activity days", US_national_yearly!$D:$AM, 36, FALSE) / VLOOKUP("industry|PM25|Minor restricted activity days", US_national_yearly!$D:$AM, 10, FALSE), 1)</f>
        <v>10.367961919005445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1.5027084687364189</v>
      </c>
      <c r="C15" s="7">
        <f>$B15 * IFERROR(VLOOKUP("industry|PM25|Work loss days", US_national_yearly!$D:$AM, 11, FALSE) / VLOOKUP("industry|PM25|Work loss days", US_national_yearly!$D:$AM, 10, FALSE), 1)</f>
        <v>1.5073674683262244</v>
      </c>
      <c r="D15" s="7">
        <f>$B15 * IFERROR(VLOOKUP("industry|PM25|Work loss days", US_national_yearly!$D:$AM, 12, FALSE) / VLOOKUP("industry|PM25|Work loss days", US_national_yearly!$D:$AM, 10, FALSE), 1)</f>
        <v>1.5120264679160298</v>
      </c>
      <c r="E15" s="7">
        <f>$B15 * IFERROR(VLOOKUP("industry|PM25|Work loss days", US_national_yearly!$D:$AM, 13, FALSE) / VLOOKUP("industry|PM25|Work loss days", US_national_yearly!$D:$AM, 10, FALSE), 1)</f>
        <v>1.5166854675058348</v>
      </c>
      <c r="F15" s="7">
        <f>$B15 * IFERROR(VLOOKUP("industry|PM25|Work loss days", US_national_yearly!$D:$AM, 14, FALSE) / VLOOKUP("industry|PM25|Work loss days", US_national_yearly!$D:$AM, 10, FALSE), 1)</f>
        <v>1.5213444670956402</v>
      </c>
      <c r="G15" s="7">
        <f>$B15 * IFERROR(VLOOKUP("industry|PM25|Work loss days", US_national_yearly!$D:$AM, 15, FALSE) / VLOOKUP("industry|PM25|Work loss days", US_national_yearly!$D:$AM, 10, FALSE), 1)</f>
        <v>1.5274269950536912</v>
      </c>
      <c r="H15" s="7">
        <f>$B15 * IFERROR(VLOOKUP("industry|PM25|Work loss days", US_national_yearly!$D:$AM, 16, FALSE) / VLOOKUP("industry|PM25|Work loss days", US_national_yearly!$D:$AM, 10, FALSE), 1)</f>
        <v>1.5335095230117421</v>
      </c>
      <c r="I15" s="7">
        <f>$B15 * IFERROR(VLOOKUP("industry|PM25|Work loss days", US_national_yearly!$D:$AM, 17, FALSE) / VLOOKUP("industry|PM25|Work loss days", US_national_yearly!$D:$AM, 10, FALSE), 1)</f>
        <v>1.5424162797908951</v>
      </c>
      <c r="J15" s="7">
        <f>$B15 * IFERROR(VLOOKUP("industry|PM25|Work loss days", US_national_yearly!$D:$AM, 18, FALSE) / VLOOKUP("industry|PM25|Work loss days", US_national_yearly!$D:$AM, 10, FALSE), 1)</f>
        <v>1.5513230365700481</v>
      </c>
      <c r="K15" s="7">
        <f>$B15 * IFERROR(VLOOKUP("industry|PM25|Work loss days", US_national_yearly!$D:$AM, 19, FALSE) / VLOOKUP("industry|PM25|Work loss days", US_national_yearly!$D:$AM, 10, FALSE), 1)</f>
        <v>1.5602297933492009</v>
      </c>
      <c r="L15" s="7">
        <f>$B15 * IFERROR(VLOOKUP("industry|PM25|Work loss days", US_national_yearly!$D:$AM, 20, FALSE) / VLOOKUP("industry|PM25|Work loss days", US_national_yearly!$D:$AM, 10, FALSE), 1)</f>
        <v>1.5691365501283538</v>
      </c>
      <c r="M15" s="7">
        <f>$B15 * IFERROR(VLOOKUP("industry|PM25|Work loss days", US_national_yearly!$D:$AM, 21, FALSE) / VLOOKUP("industry|PM25|Work loss days", US_national_yearly!$D:$AM, 10, FALSE), 1)</f>
        <v>1.5780433069075068</v>
      </c>
      <c r="N15" s="7">
        <f>$B15 * IFERROR(VLOOKUP("industry|PM25|Work loss days", US_national_yearly!$D:$AM, 22, FALSE) / VLOOKUP("industry|PM25|Work loss days", US_national_yearly!$D:$AM, 10, FALSE), 1)</f>
        <v>1.5892824648807311</v>
      </c>
      <c r="O15" s="7">
        <f>$B15 * IFERROR(VLOOKUP("industry|PM25|Work loss days", US_national_yearly!$D:$AM, 23, FALSE) / VLOOKUP("industry|PM25|Work loss days", US_national_yearly!$D:$AM, 10, FALSE), 1)</f>
        <v>1.6005216228539552</v>
      </c>
      <c r="P15" s="7">
        <f>$B15 * IFERROR(VLOOKUP("industry|PM25|Work loss days", US_national_yearly!$D:$AM, 24, FALSE) / VLOOKUP("industry|PM25|Work loss days", US_national_yearly!$D:$AM, 10, FALSE), 1)</f>
        <v>1.611760780827179</v>
      </c>
      <c r="Q15" s="7">
        <f>$B15 * IFERROR(VLOOKUP("industry|PM25|Work loss days", US_national_yearly!$D:$AM, 25, FALSE) / VLOOKUP("industry|PM25|Work loss days", US_national_yearly!$D:$AM, 10, FALSE), 1)</f>
        <v>1.6229999388004033</v>
      </c>
      <c r="R15" s="7">
        <f>$B15 * IFERROR(VLOOKUP("industry|PM25|Work loss days", US_national_yearly!$D:$AM, 26, FALSE) / VLOOKUP("industry|PM25|Work loss days", US_national_yearly!$D:$AM, 10, FALSE), 1)</f>
        <v>1.6342390967736271</v>
      </c>
      <c r="S15" s="7">
        <f>$B15 * IFERROR(VLOOKUP("industry|PM25|Work loss days", US_national_yearly!$D:$AM, 27, FALSE) / VLOOKUP("industry|PM25|Work loss days", US_national_yearly!$D:$AM, 10, FALSE), 1)</f>
        <v>1.6467017296076414</v>
      </c>
      <c r="T15" s="7">
        <f>$B15 * IFERROR(VLOOKUP("industry|PM25|Work loss days", US_national_yearly!$D:$AM, 28, FALSE) / VLOOKUP("industry|PM25|Work loss days", US_national_yearly!$D:$AM, 10, FALSE), 1)</f>
        <v>1.6591643624416552</v>
      </c>
      <c r="U15" s="7">
        <f>$B15 * IFERROR(VLOOKUP("industry|PM25|Work loss days", US_national_yearly!$D:$AM, 29, FALSE) / VLOOKUP("industry|PM25|Work loss days", US_national_yearly!$D:$AM, 10, FALSE), 1)</f>
        <v>1.6716269952756693</v>
      </c>
      <c r="V15" s="7">
        <f>$B15 * IFERROR(VLOOKUP("industry|PM25|Work loss days", US_national_yearly!$D:$AM, 30, FALSE) / VLOOKUP("industry|PM25|Work loss days", US_national_yearly!$D:$AM, 10, FALSE), 1)</f>
        <v>1.6840896281096831</v>
      </c>
      <c r="W15" s="7">
        <f>$B15 * IFERROR(VLOOKUP("industry|PM25|Work loss days", US_national_yearly!$D:$AM, 31, FALSE) / VLOOKUP("industry|PM25|Work loss days", US_national_yearly!$D:$AM, 10, FALSE), 1)</f>
        <v>1.6965522609436974</v>
      </c>
      <c r="X15" s="7">
        <f>$B15 * IFERROR(VLOOKUP("industry|PM25|Work loss days", US_national_yearly!$D:$AM, 32, FALSE) / VLOOKUP("industry|PM25|Work loss days", US_national_yearly!$D:$AM, 10, FALSE), 1)</f>
        <v>1.7076269489287914</v>
      </c>
      <c r="Y15" s="7">
        <f>$B15 * IFERROR(VLOOKUP("industry|PM25|Work loss days", US_national_yearly!$D:$AM, 33, FALSE) / VLOOKUP("industry|PM25|Work loss days", US_national_yearly!$D:$AM, 10, FALSE), 1)</f>
        <v>1.7187016369138859</v>
      </c>
      <c r="Z15" s="7">
        <f>$B15 * IFERROR(VLOOKUP("industry|PM25|Work loss days", US_national_yearly!$D:$AM, 34, FALSE) / VLOOKUP("industry|PM25|Work loss days", US_national_yearly!$D:$AM, 10, FALSE), 1)</f>
        <v>1.7297763248989801</v>
      </c>
      <c r="AA15" s="7">
        <f>$B15 * IFERROR(VLOOKUP("industry|PM25|Work loss days", US_national_yearly!$D:$AM, 35, FALSE) / VLOOKUP("industry|PM25|Work loss days", US_national_yearly!$D:$AM, 10, FALSE), 1)</f>
        <v>1.7408510128840742</v>
      </c>
      <c r="AB15" s="7">
        <f>$B15 * IFERROR(VLOOKUP("industry|PM25|Work loss days", US_national_yearly!$D:$AM, 36, FALSE) / VLOOKUP("industry|PM25|Work loss days", US_national_yearly!$D:$AM, 10, FALSE), 1)</f>
        <v>1.7519257008691684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3.0112125291830863E-3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3.101279826481063E-3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3.1913471237790402E-3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3.2814144210770169E-3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3.3714817183749931E-3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3.4578047309001504E-3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3.5441277434253068E-3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3.6182436145421018E-3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3.6923594856588969E-3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3.7664753567756928E-3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3.8405912278924883E-3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3.9147070990092842E-3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3.9642167803430927E-3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4.0137264616768994E-3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4.063236143010707E-3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4.1127458243445146E-3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4.1622555056783231E-3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4.1887815923004439E-3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4.2153076789225655E-3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4.2418337655446871E-3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4.2683598521668078E-3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4.2948859387889286E-3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4.3131012580599377E-3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4.3313165773309452E-3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4.3495318966019526E-3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4.3677472158729601E-3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4.3859625351439684E-3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6.8887573309807447E-4</v>
      </c>
      <c r="C2" s="7">
        <f>$B2 * IFERROR(VLOOKUP("industry|NOx|Premature mortality", US_national_yearly!$D:$AM, 11, FALSE) / VLOOKUP("industry|NOx|Premature mortality", US_national_yearly!$D:$AM, 10, FALSE), 1)</f>
        <v>6.9906195774834272E-4</v>
      </c>
      <c r="D2" s="7">
        <f>$B2 * IFERROR(VLOOKUP("industry|NOx|Premature mortality", US_national_yearly!$D:$AM, 12, FALSE) / VLOOKUP("industry|NOx|Premature mortality", US_national_yearly!$D:$AM, 10, FALSE), 1)</f>
        <v>7.0924818239861108E-4</v>
      </c>
      <c r="E2" s="7">
        <f>$B2 * IFERROR(VLOOKUP("industry|NOx|Premature mortality", US_national_yearly!$D:$AM, 13, FALSE) / VLOOKUP("industry|NOx|Premature mortality", US_national_yearly!$D:$AM, 10, FALSE), 1)</f>
        <v>7.1943440704887933E-4</v>
      </c>
      <c r="F2" s="7">
        <f>$B2 * IFERROR(VLOOKUP("industry|NOx|Premature mortality", US_national_yearly!$D:$AM, 14, FALSE) / VLOOKUP("industry|NOx|Premature mortality", US_national_yearly!$D:$AM, 10, FALSE), 1)</f>
        <v>7.2962063169914769E-4</v>
      </c>
      <c r="G2" s="7">
        <f>$B2 * IFERROR(VLOOKUP("industry|NOx|Premature mortality", US_national_yearly!$D:$AM, 15, FALSE) / VLOOKUP("industry|NOx|Premature mortality", US_national_yearly!$D:$AM, 10, FALSE), 1)</f>
        <v>7.4788834705985898E-4</v>
      </c>
      <c r="H2" s="7">
        <f>$B2 * IFERROR(VLOOKUP("industry|NOx|Premature mortality", US_national_yearly!$D:$AM, 16, FALSE) / VLOOKUP("industry|NOx|Premature mortality", US_national_yearly!$D:$AM, 10, FALSE), 1)</f>
        <v>7.6615606242057027E-4</v>
      </c>
      <c r="I2" s="7">
        <f>$B2 * IFERROR(VLOOKUP("industry|NOx|Premature mortality", US_national_yearly!$D:$AM, 17, FALSE) / VLOOKUP("industry|NOx|Premature mortality", US_national_yearly!$D:$AM, 10, FALSE), 1)</f>
        <v>7.7800694405587864E-4</v>
      </c>
      <c r="J2" s="7">
        <f>$B2 * IFERROR(VLOOKUP("industry|NOx|Premature mortality", US_national_yearly!$D:$AM, 18, FALSE) / VLOOKUP("industry|NOx|Premature mortality", US_national_yearly!$D:$AM, 10, FALSE), 1)</f>
        <v>7.898578256911869E-4</v>
      </c>
      <c r="K2" s="7">
        <f>$B2 * IFERROR(VLOOKUP("industry|NOx|Premature mortality", US_national_yearly!$D:$AM, 19, FALSE) / VLOOKUP("industry|NOx|Premature mortality", US_national_yearly!$D:$AM, 10, FALSE), 1)</f>
        <v>8.0170870732649549E-4</v>
      </c>
      <c r="L2" s="7">
        <f>$B2 * IFERROR(VLOOKUP("industry|NOx|Premature mortality", US_national_yearly!$D:$AM, 20, FALSE) / VLOOKUP("industry|NOx|Premature mortality", US_national_yearly!$D:$AM, 10, FALSE), 1)</f>
        <v>8.1355958896180375E-4</v>
      </c>
      <c r="M2" s="7">
        <f>$B2 * IFERROR(VLOOKUP("industry|NOx|Premature mortality", US_national_yearly!$D:$AM, 21, FALSE) / VLOOKUP("industry|NOx|Premature mortality", US_national_yearly!$D:$AM, 10, FALSE), 1)</f>
        <v>8.2541047059711211E-4</v>
      </c>
      <c r="N2" s="7">
        <f>$B2 * IFERROR(VLOOKUP("industry|NOx|Premature mortality", US_national_yearly!$D:$AM, 22, FALSE) / VLOOKUP("industry|NOx|Premature mortality", US_national_yearly!$D:$AM, 10, FALSE), 1)</f>
        <v>8.3422907296062314E-4</v>
      </c>
      <c r="O2" s="7">
        <f>$B2 * IFERROR(VLOOKUP("industry|NOx|Premature mortality", US_national_yearly!$D:$AM, 23, FALSE) / VLOOKUP("industry|NOx|Premature mortality", US_national_yearly!$D:$AM, 10, FALSE), 1)</f>
        <v>8.4304767532413405E-4</v>
      </c>
      <c r="P2" s="7">
        <f>$B2 * IFERROR(VLOOKUP("industry|NOx|Premature mortality", US_national_yearly!$D:$AM, 24, FALSE) / VLOOKUP("industry|NOx|Premature mortality", US_national_yearly!$D:$AM, 10, FALSE), 1)</f>
        <v>8.5186627768764475E-4</v>
      </c>
      <c r="Q2" s="7">
        <f>$B2 * IFERROR(VLOOKUP("industry|NOx|Premature mortality", US_national_yearly!$D:$AM, 25, FALSE) / VLOOKUP("industry|NOx|Premature mortality", US_national_yearly!$D:$AM, 10, FALSE), 1)</f>
        <v>8.6068488005115566E-4</v>
      </c>
      <c r="R2" s="7">
        <f>$B2 * IFERROR(VLOOKUP("industry|NOx|Premature mortality", US_national_yearly!$D:$AM, 26, FALSE) / VLOOKUP("industry|NOx|Premature mortality", US_national_yearly!$D:$AM, 10, FALSE), 1)</f>
        <v>8.6950348241466658E-4</v>
      </c>
      <c r="S2" s="7">
        <f>$B2 * IFERROR(VLOOKUP("industry|NOx|Premature mortality", US_national_yearly!$D:$AM, 27, FALSE) / VLOOKUP("industry|NOx|Premature mortality", US_national_yearly!$D:$AM, 10, FALSE), 1)</f>
        <v>8.7360995609349844E-4</v>
      </c>
      <c r="T2" s="7">
        <f>$B2 * IFERROR(VLOOKUP("industry|NOx|Premature mortality", US_national_yearly!$D:$AM, 28, FALSE) / VLOOKUP("industry|NOx|Premature mortality", US_national_yearly!$D:$AM, 10, FALSE), 1)</f>
        <v>8.7771642977233031E-4</v>
      </c>
      <c r="U2" s="7">
        <f>$B2 * IFERROR(VLOOKUP("industry|NOx|Premature mortality", US_national_yearly!$D:$AM, 29, FALSE) / VLOOKUP("industry|NOx|Premature mortality", US_national_yearly!$D:$AM, 10, FALSE), 1)</f>
        <v>8.8182290345116218E-4</v>
      </c>
      <c r="V2" s="7">
        <f>$B2 * IFERROR(VLOOKUP("industry|NOx|Premature mortality", US_national_yearly!$D:$AM, 30, FALSE) / VLOOKUP("industry|NOx|Premature mortality", US_national_yearly!$D:$AM, 10, FALSE), 1)</f>
        <v>8.8592937712999394E-4</v>
      </c>
      <c r="W2" s="7">
        <f>$B2 * IFERROR(VLOOKUP("industry|NOx|Premature mortality", US_national_yearly!$D:$AM, 31, FALSE) / VLOOKUP("industry|NOx|Premature mortality", US_national_yearly!$D:$AM, 10, FALSE), 1)</f>
        <v>8.9003585080882569E-4</v>
      </c>
      <c r="X2" s="7">
        <f>$B2 * IFERROR(VLOOKUP("industry|NOx|Premature mortality", US_national_yearly!$D:$AM, 32, FALSE) / VLOOKUP("industry|NOx|Premature mortality", US_national_yearly!$D:$AM, 10, FALSE), 1)</f>
        <v>8.9034968066058868E-4</v>
      </c>
      <c r="Y2" s="7">
        <f>$B2 * IFERROR(VLOOKUP("industry|NOx|Premature mortality", US_national_yearly!$D:$AM, 33, FALSE) / VLOOKUP("industry|NOx|Premature mortality", US_national_yearly!$D:$AM, 10, FALSE), 1)</f>
        <v>8.9066351051235156E-4</v>
      </c>
      <c r="Z2" s="7">
        <f>$B2 * IFERROR(VLOOKUP("industry|NOx|Premature mortality", US_national_yearly!$D:$AM, 34, FALSE) / VLOOKUP("industry|NOx|Premature mortality", US_national_yearly!$D:$AM, 10, FALSE), 1)</f>
        <v>8.9097734036411454E-4</v>
      </c>
      <c r="AA2" s="7">
        <f>$B2 * IFERROR(VLOOKUP("industry|NOx|Premature mortality", US_national_yearly!$D:$AM, 35, FALSE) / VLOOKUP("industry|NOx|Premature mortality", US_national_yearly!$D:$AM, 10, FALSE), 1)</f>
        <v>8.9129117021587742E-4</v>
      </c>
      <c r="AB2" s="7">
        <f>$B2 * IFERROR(VLOOKUP("industry|NOx|Premature mortality", US_national_yearly!$D:$AM, 36, FALSE) / VLOOKUP("industry|NOx|Premature mortality", US_national_yearly!$D:$AM, 10, FALSE), 1)</f>
        <v>8.916050000676404E-4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1.9199558438696998E-6</v>
      </c>
      <c r="C3" s="7">
        <f>$B3 * IFERROR(VLOOKUP("industry|NOx|Infant mortality", US_national_yearly!$D:$AM, 11, FALSE) / VLOOKUP("industry|NOx|Infant mortality", US_national_yearly!$D:$AM, 10, FALSE), 1)</f>
        <v>1.9015687485032948E-6</v>
      </c>
      <c r="D3" s="7">
        <f>$B3 * IFERROR(VLOOKUP("industry|NOx|Infant mortality", US_national_yearly!$D:$AM, 12, FALSE) / VLOOKUP("industry|NOx|Infant mortality", US_national_yearly!$D:$AM, 10, FALSE), 1)</f>
        <v>1.8831816531368895E-6</v>
      </c>
      <c r="E3" s="7">
        <f>$B3 * IFERROR(VLOOKUP("industry|NOx|Infant mortality", US_national_yearly!$D:$AM, 13, FALSE) / VLOOKUP("industry|NOx|Infant mortality", US_national_yearly!$D:$AM, 10, FALSE), 1)</f>
        <v>1.8647945577704842E-6</v>
      </c>
      <c r="F3" s="7">
        <f>$B3 * IFERROR(VLOOKUP("industry|NOx|Infant mortality", US_national_yearly!$D:$AM, 14, FALSE) / VLOOKUP("industry|NOx|Infant mortality", US_national_yearly!$D:$AM, 10, FALSE), 1)</f>
        <v>1.846407462404079E-6</v>
      </c>
      <c r="G3" s="7">
        <f>$B3 * IFERROR(VLOOKUP("industry|NOx|Infant mortality", US_national_yearly!$D:$AM, 15, FALSE) / VLOOKUP("industry|NOx|Infant mortality", US_national_yearly!$D:$AM, 10, FALSE), 1)</f>
        <v>1.2247003479304049E-6</v>
      </c>
      <c r="H3" s="7">
        <f>$B3 * IFERROR(VLOOKUP("industry|NOx|Infant mortality", US_national_yearly!$D:$AM, 16, FALSE) / VLOOKUP("industry|NOx|Infant mortality", US_national_yearly!$D:$AM, 10, FALSE), 1)</f>
        <v>6.0299323345673076E-7</v>
      </c>
      <c r="I3" s="7">
        <f>$B3 * IFERROR(VLOOKUP("industry|NOx|Infant mortality", US_national_yearly!$D:$AM, 17, FALSE) / VLOOKUP("industry|NOx|Infant mortality", US_national_yearly!$D:$AM, 10, FALSE), 1)</f>
        <v>5.9864591259370019E-7</v>
      </c>
      <c r="J3" s="7">
        <f>$B3 * IFERROR(VLOOKUP("industry|NOx|Infant mortality", US_national_yearly!$D:$AM, 18, FALSE) / VLOOKUP("industry|NOx|Infant mortality", US_national_yearly!$D:$AM, 10, FALSE), 1)</f>
        <v>5.9429859173066972E-7</v>
      </c>
      <c r="K3" s="7">
        <f>$B3 * IFERROR(VLOOKUP("industry|NOx|Infant mortality", US_national_yearly!$D:$AM, 19, FALSE) / VLOOKUP("industry|NOx|Infant mortality", US_national_yearly!$D:$AM, 10, FALSE), 1)</f>
        <v>5.8995127086763926E-7</v>
      </c>
      <c r="L3" s="7">
        <f>$B3 * IFERROR(VLOOKUP("industry|NOx|Infant mortality", US_national_yearly!$D:$AM, 20, FALSE) / VLOOKUP("industry|NOx|Infant mortality", US_national_yearly!$D:$AM, 10, FALSE), 1)</f>
        <v>5.8560395000460859E-7</v>
      </c>
      <c r="M3" s="7">
        <f>$B3 * IFERROR(VLOOKUP("industry|NOx|Infant mortality", US_national_yearly!$D:$AM, 21, FALSE) / VLOOKUP("industry|NOx|Infant mortality", US_national_yearly!$D:$AM, 10, FALSE), 1)</f>
        <v>5.8125662914157802E-7</v>
      </c>
      <c r="N3" s="7">
        <f>$B3 * IFERROR(VLOOKUP("industry|NOx|Infant mortality", US_national_yearly!$D:$AM, 22, FALSE) / VLOOKUP("industry|NOx|Infant mortality", US_national_yearly!$D:$AM, 10, FALSE), 1)</f>
        <v>5.7832760043850334E-7</v>
      </c>
      <c r="O3" s="7">
        <f>$B3 * IFERROR(VLOOKUP("industry|NOx|Infant mortality", US_national_yearly!$D:$AM, 23, FALSE) / VLOOKUP("industry|NOx|Infant mortality", US_national_yearly!$D:$AM, 10, FALSE), 1)</f>
        <v>5.7539857173542856E-7</v>
      </c>
      <c r="P3" s="7">
        <f>$B3 * IFERROR(VLOOKUP("industry|NOx|Infant mortality", US_national_yearly!$D:$AM, 24, FALSE) / VLOOKUP("industry|NOx|Infant mortality", US_national_yearly!$D:$AM, 10, FALSE), 1)</f>
        <v>5.7246954303235388E-7</v>
      </c>
      <c r="Q3" s="7">
        <f>$B3 * IFERROR(VLOOKUP("industry|NOx|Infant mortality", US_national_yearly!$D:$AM, 25, FALSE) / VLOOKUP("industry|NOx|Infant mortality", US_national_yearly!$D:$AM, 10, FALSE), 1)</f>
        <v>5.695405143292792E-7</v>
      </c>
      <c r="R3" s="7">
        <f>$B3 * IFERROR(VLOOKUP("industry|NOx|Infant mortality", US_national_yearly!$D:$AM, 26, FALSE) / VLOOKUP("industry|NOx|Infant mortality", US_national_yearly!$D:$AM, 10, FALSE), 1)</f>
        <v>5.6661148562620453E-7</v>
      </c>
      <c r="S3" s="7">
        <f>$B3 * IFERROR(VLOOKUP("industry|NOx|Infant mortality", US_national_yearly!$D:$AM, 27, FALSE) / VLOOKUP("industry|NOx|Infant mortality", US_national_yearly!$D:$AM, 10, FALSE), 1)</f>
        <v>5.6313331640670001E-7</v>
      </c>
      <c r="T3" s="7">
        <f>$B3 * IFERROR(VLOOKUP("industry|NOx|Infant mortality", US_national_yearly!$D:$AM, 28, FALSE) / VLOOKUP("industry|NOx|Infant mortality", US_national_yearly!$D:$AM, 10, FALSE), 1)</f>
        <v>5.5965514718719539E-7</v>
      </c>
      <c r="U3" s="7">
        <f>$B3 * IFERROR(VLOOKUP("industry|NOx|Infant mortality", US_national_yearly!$D:$AM, 29, FALSE) / VLOOKUP("industry|NOx|Infant mortality", US_national_yearly!$D:$AM, 10, FALSE), 1)</f>
        <v>5.5617697796769087E-7</v>
      </c>
      <c r="V3" s="7">
        <f>$B3 * IFERROR(VLOOKUP("industry|NOx|Infant mortality", US_national_yearly!$D:$AM, 30, FALSE) / VLOOKUP("industry|NOx|Infant mortality", US_national_yearly!$D:$AM, 10, FALSE), 1)</f>
        <v>5.5269880874818625E-7</v>
      </c>
      <c r="W3" s="7">
        <f>$B3 * IFERROR(VLOOKUP("industry|NOx|Infant mortality", US_national_yearly!$D:$AM, 31, FALSE) / VLOOKUP("industry|NOx|Infant mortality", US_national_yearly!$D:$AM, 10, FALSE), 1)</f>
        <v>5.4922063952868184E-7</v>
      </c>
      <c r="X3" s="7">
        <f>$B3 * IFERROR(VLOOKUP("industry|NOx|Infant mortality", US_national_yearly!$D:$AM, 32, FALSE) / VLOOKUP("industry|NOx|Infant mortality", US_national_yearly!$D:$AM, 10, FALSE), 1)</f>
        <v>5.4556817671723254E-7</v>
      </c>
      <c r="Y3" s="7">
        <f>$B3 * IFERROR(VLOOKUP("industry|NOx|Infant mortality", US_national_yearly!$D:$AM, 33, FALSE) / VLOOKUP("industry|NOx|Infant mortality", US_national_yearly!$D:$AM, 10, FALSE), 1)</f>
        <v>5.4191571390578335E-7</v>
      </c>
      <c r="Z3" s="7">
        <f>$B3 * IFERROR(VLOOKUP("industry|NOx|Infant mortality", US_national_yearly!$D:$AM, 34, FALSE) / VLOOKUP("industry|NOx|Infant mortality", US_national_yearly!$D:$AM, 10, FALSE), 1)</f>
        <v>5.3826325109433405E-7</v>
      </c>
      <c r="AA3" s="7">
        <f>$B3 * IFERROR(VLOOKUP("industry|NOx|Infant mortality", US_national_yearly!$D:$AM, 35, FALSE) / VLOOKUP("industry|NOx|Infant mortality", US_national_yearly!$D:$AM, 10, FALSE), 1)</f>
        <v>5.3461078828288486E-7</v>
      </c>
      <c r="AB3" s="7">
        <f>$B3 * IFERROR(VLOOKUP("industry|NOx|Infant mortality", US_national_yearly!$D:$AM, 36, FALSE) / VLOOKUP("industry|NOx|Infant mortality", US_national_yearly!$D:$AM, 10, FALSE), 1)</f>
        <v>5.3095832547143567E-7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1.650020654290877E-3</v>
      </c>
      <c r="C6" s="7">
        <f>$B6 * IFERROR(VLOOKUP("industry|NOx|Asthma symptoms cough", US_national_yearly!$D:$AM, 11, FALSE) / VLOOKUP("industry|NOx|Asthma symptoms cough", US_national_yearly!$D:$AM, 10, FALSE), 1)</f>
        <v>1.6725934967233421E-3</v>
      </c>
      <c r="D6" s="7">
        <f>$B6 * IFERROR(VLOOKUP("industry|NOx|Asthma symptoms cough", US_national_yearly!$D:$AM, 12, FALSE) / VLOOKUP("industry|NOx|Asthma symptoms cough", US_national_yearly!$D:$AM, 10, FALSE), 1)</f>
        <v>1.6951663391558073E-3</v>
      </c>
      <c r="E6" s="7">
        <f>$B6 * IFERROR(VLOOKUP("industry|NOx|Asthma symptoms cough", US_national_yearly!$D:$AM, 13, FALSE) / VLOOKUP("industry|NOx|Asthma symptoms cough", US_national_yearly!$D:$AM, 10, FALSE), 1)</f>
        <v>1.7177391815882724E-3</v>
      </c>
      <c r="F6" s="7">
        <f>$B6 * IFERROR(VLOOKUP("industry|NOx|Asthma symptoms cough", US_national_yearly!$D:$AM, 14, FALSE) / VLOOKUP("industry|NOx|Asthma symptoms cough", US_national_yearly!$D:$AM, 10, FALSE), 1)</f>
        <v>1.7403120240207378E-3</v>
      </c>
      <c r="G6" s="7">
        <f>$B6 * IFERROR(VLOOKUP("industry|NOx|Asthma symptoms cough", US_national_yearly!$D:$AM, 15, FALSE) / VLOOKUP("industry|NOx|Asthma symptoms cough", US_national_yearly!$D:$AM, 10, FALSE), 1)</f>
        <v>1.7584119417583921E-3</v>
      </c>
      <c r="H6" s="7">
        <f>$B6 * IFERROR(VLOOKUP("industry|NOx|Asthma symptoms cough", US_national_yearly!$D:$AM, 16, FALSE) / VLOOKUP("industry|NOx|Asthma symptoms cough", US_national_yearly!$D:$AM, 10, FALSE), 1)</f>
        <v>1.7765118594960467E-3</v>
      </c>
      <c r="I6" s="7">
        <f>$B6 * IFERROR(VLOOKUP("industry|NOx|Asthma symptoms cough", US_national_yearly!$D:$AM, 17, FALSE) / VLOOKUP("industry|NOx|Asthma symptoms cough", US_national_yearly!$D:$AM, 10, FALSE), 1)</f>
        <v>1.7828107913257318E-3</v>
      </c>
      <c r="J6" s="7">
        <f>$B6 * IFERROR(VLOOKUP("industry|NOx|Asthma symptoms cough", US_national_yearly!$D:$AM, 18, FALSE) / VLOOKUP("industry|NOx|Asthma symptoms cough", US_national_yearly!$D:$AM, 10, FALSE), 1)</f>
        <v>1.7891097231554172E-3</v>
      </c>
      <c r="K6" s="7">
        <f>$B6 * IFERROR(VLOOKUP("industry|NOx|Asthma symptoms cough", US_national_yearly!$D:$AM, 19, FALSE) / VLOOKUP("industry|NOx|Asthma symptoms cough", US_national_yearly!$D:$AM, 10, FALSE), 1)</f>
        <v>1.7954086549851023E-3</v>
      </c>
      <c r="L6" s="7">
        <f>$B6 * IFERROR(VLOOKUP("industry|NOx|Asthma symptoms cough", US_national_yearly!$D:$AM, 20, FALSE) / VLOOKUP("industry|NOx|Asthma symptoms cough", US_national_yearly!$D:$AM, 10, FALSE), 1)</f>
        <v>1.8017075868147878E-3</v>
      </c>
      <c r="M6" s="7">
        <f>$B6 * IFERROR(VLOOKUP("industry|NOx|Asthma symptoms cough", US_national_yearly!$D:$AM, 21, FALSE) / VLOOKUP("industry|NOx|Asthma symptoms cough", US_national_yearly!$D:$AM, 10, FALSE), 1)</f>
        <v>1.8080065186444733E-3</v>
      </c>
      <c r="N6" s="7">
        <f>$B6 * IFERROR(VLOOKUP("industry|NOx|Asthma symptoms cough", US_national_yearly!$D:$AM, 22, FALSE) / VLOOKUP("industry|NOx|Asthma symptoms cough", US_national_yearly!$D:$AM, 10, FALSE), 1)</f>
        <v>1.8151969212805382E-3</v>
      </c>
      <c r="O6" s="7">
        <f>$B6 * IFERROR(VLOOKUP("industry|NOx|Asthma symptoms cough", US_national_yearly!$D:$AM, 23, FALSE) / VLOOKUP("industry|NOx|Asthma symptoms cough", US_national_yearly!$D:$AM, 10, FALSE), 1)</f>
        <v>1.8223873239166027E-3</v>
      </c>
      <c r="P6" s="7">
        <f>$B6 * IFERROR(VLOOKUP("industry|NOx|Asthma symptoms cough", US_national_yearly!$D:$AM, 24, FALSE) / VLOOKUP("industry|NOx|Asthma symptoms cough", US_national_yearly!$D:$AM, 10, FALSE), 1)</f>
        <v>1.8295777265526676E-3</v>
      </c>
      <c r="Q6" s="7">
        <f>$B6 * IFERROR(VLOOKUP("industry|NOx|Asthma symptoms cough", US_national_yearly!$D:$AM, 25, FALSE) / VLOOKUP("industry|NOx|Asthma symptoms cough", US_national_yearly!$D:$AM, 10, FALSE), 1)</f>
        <v>1.8367681291887325E-3</v>
      </c>
      <c r="R6" s="7">
        <f>$B6 * IFERROR(VLOOKUP("industry|NOx|Asthma symptoms cough", US_national_yearly!$D:$AM, 26, FALSE) / VLOOKUP("industry|NOx|Asthma symptoms cough", US_national_yearly!$D:$AM, 10, FALSE), 1)</f>
        <v>1.8439585318247975E-3</v>
      </c>
      <c r="S6" s="7">
        <f>$B6 * IFERROR(VLOOKUP("industry|NOx|Asthma symptoms cough", US_national_yearly!$D:$AM, 27, FALSE) / VLOOKUP("industry|NOx|Asthma symptoms cough", US_national_yearly!$D:$AM, 10, FALSE), 1)</f>
        <v>1.8532338330786975E-3</v>
      </c>
      <c r="T6" s="7">
        <f>$B6 * IFERROR(VLOOKUP("industry|NOx|Asthma symptoms cough", US_national_yearly!$D:$AM, 28, FALSE) / VLOOKUP("industry|NOx|Asthma symptoms cough", US_national_yearly!$D:$AM, 10, FALSE), 1)</f>
        <v>1.8625091343325976E-3</v>
      </c>
      <c r="U6" s="7">
        <f>$B6 * IFERROR(VLOOKUP("industry|NOx|Asthma symptoms cough", US_national_yearly!$D:$AM, 29, FALSE) / VLOOKUP("industry|NOx|Asthma symptoms cough", US_national_yearly!$D:$AM, 10, FALSE), 1)</f>
        <v>1.8717844355864977E-3</v>
      </c>
      <c r="V6" s="7">
        <f>$B6 * IFERROR(VLOOKUP("industry|NOx|Asthma symptoms cough", US_national_yearly!$D:$AM, 30, FALSE) / VLOOKUP("industry|NOx|Asthma symptoms cough", US_national_yearly!$D:$AM, 10, FALSE), 1)</f>
        <v>1.8810597368403975E-3</v>
      </c>
      <c r="W6" s="7">
        <f>$B6 * IFERROR(VLOOKUP("industry|NOx|Asthma symptoms cough", US_national_yearly!$D:$AM, 31, FALSE) / VLOOKUP("industry|NOx|Asthma symptoms cough", US_national_yearly!$D:$AM, 10, FALSE), 1)</f>
        <v>1.8903350380942978E-3</v>
      </c>
      <c r="X6" s="7">
        <f>$B6 * IFERROR(VLOOKUP("industry|NOx|Asthma symptoms cough", US_national_yearly!$D:$AM, 32, FALSE) / VLOOKUP("industry|NOx|Asthma symptoms cough", US_national_yearly!$D:$AM, 10, FALSE), 1)</f>
        <v>1.8989339556145066E-3</v>
      </c>
      <c r="Y6" s="7">
        <f>$B6 * IFERROR(VLOOKUP("industry|NOx|Asthma symptoms cough", US_national_yearly!$D:$AM, 33, FALSE) / VLOOKUP("industry|NOx|Asthma symptoms cough", US_national_yearly!$D:$AM, 10, FALSE), 1)</f>
        <v>1.9075328731347147E-3</v>
      </c>
      <c r="Z6" s="7">
        <f>$B6 * IFERROR(VLOOKUP("industry|NOx|Asthma symptoms cough", US_national_yearly!$D:$AM, 34, FALSE) / VLOOKUP("industry|NOx|Asthma symptoms cough", US_national_yearly!$D:$AM, 10, FALSE), 1)</f>
        <v>1.9161317906549232E-3</v>
      </c>
      <c r="AA6" s="7">
        <f>$B6 * IFERROR(VLOOKUP("industry|NOx|Asthma symptoms cough", US_national_yearly!$D:$AM, 35, FALSE) / VLOOKUP("industry|NOx|Asthma symptoms cough", US_national_yearly!$D:$AM, 10, FALSE), 1)</f>
        <v>1.9247307081751315E-3</v>
      </c>
      <c r="AB6" s="7">
        <f>$B6 * IFERROR(VLOOKUP("industry|NOx|Asthma symptoms cough", US_national_yearly!$D:$AM, 36, FALSE) / VLOOKUP("industry|NOx|Asthma symptoms cough", US_national_yearly!$D:$AM, 10, FALSE), 1)</f>
        <v>1.9333296256953401E-3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2.2219838234022104E-3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2.2523813160010989E-3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2.2827788085999874E-3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2.3131763011988759E-3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2.3435737937977648E-3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2.3679478670341298E-3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2.3923219402704958E-3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2.4008043337541787E-3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2.4092867272378616E-3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2.4177691207215449E-3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2.4262515142052287E-3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2.4347339076889116E-3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2.4444167914355113E-3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2.4540996751821107E-3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2.4637825589287109E-3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2.4734654426753111E-3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2.4831483264219105E-3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2.4956388180776275E-3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2.5081293097333444E-3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2.5206198013890614E-3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2.5331102930447784E-3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2.545600784700495E-3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2.5571804309530337E-3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2.5687600772055725E-3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2.5803397234581108E-3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2.5919193697106495E-3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2.6034990159631878E-3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3.3948447148747728E-3</v>
      </c>
      <c r="C8" s="7">
        <f>$B8 * IFERROR(VLOOKUP("industry|NOx|Asthma symptoms wheeze", US_national_yearly!$D:$AM, 11, FALSE) / VLOOKUP("industry|NOx|Asthma symptoms wheeze", US_national_yearly!$D:$AM, 10, FALSE), 1)</f>
        <v>3.4412873425376375E-3</v>
      </c>
      <c r="D8" s="7">
        <f>$B8 * IFERROR(VLOOKUP("industry|NOx|Asthma symptoms wheeze", US_national_yearly!$D:$AM, 12, FALSE) / VLOOKUP("industry|NOx|Asthma symptoms wheeze", US_national_yearly!$D:$AM, 10, FALSE), 1)</f>
        <v>3.4877299702005021E-3</v>
      </c>
      <c r="E8" s="7">
        <f>$B8 * IFERROR(VLOOKUP("industry|NOx|Asthma symptoms wheeze", US_national_yearly!$D:$AM, 13, FALSE) / VLOOKUP("industry|NOx|Asthma symptoms wheeze", US_national_yearly!$D:$AM, 10, FALSE), 1)</f>
        <v>3.5341725978633668E-3</v>
      </c>
      <c r="F8" s="7">
        <f>$B8 * IFERROR(VLOOKUP("industry|NOx|Asthma symptoms wheeze", US_national_yearly!$D:$AM, 14, FALSE) / VLOOKUP("industry|NOx|Asthma symptoms wheeze", US_national_yearly!$D:$AM, 10, FALSE), 1)</f>
        <v>3.5806152255262306E-3</v>
      </c>
      <c r="G8" s="7">
        <f>$B8 * IFERROR(VLOOKUP("industry|NOx|Asthma symptoms wheeze", US_national_yearly!$D:$AM, 15, FALSE) / VLOOKUP("industry|NOx|Asthma symptoms wheeze", US_national_yearly!$D:$AM, 10, FALSE), 1)</f>
        <v>3.6178550079305166E-3</v>
      </c>
      <c r="H8" s="7">
        <f>$B8 * IFERROR(VLOOKUP("industry|NOx|Asthma symptoms wheeze", US_national_yearly!$D:$AM, 16, FALSE) / VLOOKUP("industry|NOx|Asthma symptoms wheeze", US_national_yearly!$D:$AM, 10, FALSE), 1)</f>
        <v>3.6550947903348009E-3</v>
      </c>
      <c r="I8" s="7">
        <f>$B8 * IFERROR(VLOOKUP("industry|NOx|Asthma symptoms wheeze", US_national_yearly!$D:$AM, 17, FALSE) / VLOOKUP("industry|NOx|Asthma symptoms wheeze", US_national_yearly!$D:$AM, 10, FALSE), 1)</f>
        <v>3.6680545647555501E-3</v>
      </c>
      <c r="J8" s="7">
        <f>$B8 * IFERROR(VLOOKUP("industry|NOx|Asthma symptoms wheeze", US_national_yearly!$D:$AM, 18, FALSE) / VLOOKUP("industry|NOx|Asthma symptoms wheeze", US_national_yearly!$D:$AM, 10, FALSE), 1)</f>
        <v>3.6810143391762984E-3</v>
      </c>
      <c r="K8" s="7">
        <f>$B8 * IFERROR(VLOOKUP("industry|NOx|Asthma symptoms wheeze", US_national_yearly!$D:$AM, 19, FALSE) / VLOOKUP("industry|NOx|Asthma symptoms wheeze", US_national_yearly!$D:$AM, 10, FALSE), 1)</f>
        <v>3.6939741135970476E-3</v>
      </c>
      <c r="L8" s="7">
        <f>$B8 * IFERROR(VLOOKUP("industry|NOx|Asthma symptoms wheeze", US_national_yearly!$D:$AM, 20, FALSE) / VLOOKUP("industry|NOx|Asthma symptoms wheeze", US_national_yearly!$D:$AM, 10, FALSE), 1)</f>
        <v>3.7069338880177955E-3</v>
      </c>
      <c r="M8" s="7">
        <f>$B8 * IFERROR(VLOOKUP("industry|NOx|Asthma symptoms wheeze", US_national_yearly!$D:$AM, 21, FALSE) / VLOOKUP("industry|NOx|Asthma symptoms wheeze", US_national_yearly!$D:$AM, 10, FALSE), 1)</f>
        <v>3.7198936624385447E-3</v>
      </c>
      <c r="N8" s="7">
        <f>$B8 * IFERROR(VLOOKUP("industry|NOx|Asthma symptoms wheeze", US_national_yearly!$D:$AM, 22, FALSE) / VLOOKUP("industry|NOx|Asthma symptoms wheeze", US_national_yearly!$D:$AM, 10, FALSE), 1)</f>
        <v>3.7346875987213824E-3</v>
      </c>
      <c r="O8" s="7">
        <f>$B8 * IFERROR(VLOOKUP("industry|NOx|Asthma symptoms wheeze", US_national_yearly!$D:$AM, 23, FALSE) / VLOOKUP("industry|NOx|Asthma symptoms wheeze", US_national_yearly!$D:$AM, 10, FALSE), 1)</f>
        <v>3.74948153500422E-3</v>
      </c>
      <c r="P8" s="7">
        <f>$B8 * IFERROR(VLOOKUP("industry|NOx|Asthma symptoms wheeze", US_national_yearly!$D:$AM, 24, FALSE) / VLOOKUP("industry|NOx|Asthma symptoms wheeze", US_national_yearly!$D:$AM, 10, FALSE), 1)</f>
        <v>3.7642754712870568E-3</v>
      </c>
      <c r="Q8" s="7">
        <f>$B8 * IFERROR(VLOOKUP("industry|NOx|Asthma symptoms wheeze", US_national_yearly!$D:$AM, 25, FALSE) / VLOOKUP("industry|NOx|Asthma symptoms wheeze", US_national_yearly!$D:$AM, 10, FALSE), 1)</f>
        <v>3.7790694075698944E-3</v>
      </c>
      <c r="R8" s="7">
        <f>$B8 * IFERROR(VLOOKUP("industry|NOx|Asthma symptoms wheeze", US_national_yearly!$D:$AM, 26, FALSE) / VLOOKUP("industry|NOx|Asthma symptoms wheeze", US_national_yearly!$D:$AM, 10, FALSE), 1)</f>
        <v>3.7938633438527321E-3</v>
      </c>
      <c r="S8" s="7">
        <f>$B8 * IFERROR(VLOOKUP("industry|NOx|Asthma symptoms wheeze", US_national_yearly!$D:$AM, 27, FALSE) / VLOOKUP("industry|NOx|Asthma symptoms wheeze", US_national_yearly!$D:$AM, 10, FALSE), 1)</f>
        <v>3.8129468670785745E-3</v>
      </c>
      <c r="T8" s="7">
        <f>$B8 * IFERROR(VLOOKUP("industry|NOx|Asthma symptoms wheeze", US_national_yearly!$D:$AM, 28, FALSE) / VLOOKUP("industry|NOx|Asthma symptoms wheeze", US_national_yearly!$D:$AM, 10, FALSE), 1)</f>
        <v>3.8320303903044157E-3</v>
      </c>
      <c r="U8" s="7">
        <f>$B8 * IFERROR(VLOOKUP("industry|NOx|Asthma symptoms wheeze", US_national_yearly!$D:$AM, 29, FALSE) / VLOOKUP("industry|NOx|Asthma symptoms wheeze", US_national_yearly!$D:$AM, 10, FALSE), 1)</f>
        <v>3.8511139135302568E-3</v>
      </c>
      <c r="V8" s="7">
        <f>$B8 * IFERROR(VLOOKUP("industry|NOx|Asthma symptoms wheeze", US_national_yearly!$D:$AM, 30, FALSE) / VLOOKUP("industry|NOx|Asthma symptoms wheeze", US_national_yearly!$D:$AM, 10, FALSE), 1)</f>
        <v>3.8701974367560984E-3</v>
      </c>
      <c r="W8" s="7">
        <f>$B8 * IFERROR(VLOOKUP("industry|NOx|Asthma symptoms wheeze", US_national_yearly!$D:$AM, 31, FALSE) / VLOOKUP("industry|NOx|Asthma symptoms wheeze", US_national_yearly!$D:$AM, 10, FALSE), 1)</f>
        <v>3.8892809599819396E-3</v>
      </c>
      <c r="X8" s="7">
        <f>$B8 * IFERROR(VLOOKUP("industry|NOx|Asthma symptoms wheeze", US_national_yearly!$D:$AM, 32, FALSE) / VLOOKUP("industry|NOx|Asthma symptoms wheeze", US_national_yearly!$D:$AM, 10, FALSE), 1)</f>
        <v>3.9069728535085753E-3</v>
      </c>
      <c r="Y8" s="7">
        <f>$B8 * IFERROR(VLOOKUP("industry|NOx|Asthma symptoms wheeze", US_national_yearly!$D:$AM, 33, FALSE) / VLOOKUP("industry|NOx|Asthma symptoms wheeze", US_national_yearly!$D:$AM, 10, FALSE), 1)</f>
        <v>3.9246647470352102E-3</v>
      </c>
      <c r="Z8" s="7">
        <f>$B8 * IFERROR(VLOOKUP("industry|NOx|Asthma symptoms wheeze", US_national_yearly!$D:$AM, 34, FALSE) / VLOOKUP("industry|NOx|Asthma symptoms wheeze", US_national_yearly!$D:$AM, 10, FALSE), 1)</f>
        <v>3.9423566405618459E-3</v>
      </c>
      <c r="AA8" s="7">
        <f>$B8 * IFERROR(VLOOKUP("industry|NOx|Asthma symptoms wheeze", US_national_yearly!$D:$AM, 35, FALSE) / VLOOKUP("industry|NOx|Asthma symptoms wheeze", US_national_yearly!$D:$AM, 10, FALSE), 1)</f>
        <v>3.9600485340884799E-3</v>
      </c>
      <c r="AB8" s="7">
        <f>$B8 * IFERROR(VLOOKUP("industry|NOx|Asthma symptoms wheeze", US_national_yearly!$D:$AM, 36, FALSE) / VLOOKUP("industry|NOx|Asthma symptoms wheeze", US_national_yearly!$D:$AM, 10, FALSE), 1)</f>
        <v>3.9777404276151182E-3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4.6137910033268342E-5</v>
      </c>
      <c r="C12" s="7">
        <f>$B12 * IFERROR(VLOOKUP("industry|NOx|Respiratory hospital admissions", US_national_yearly!$D:$AM, 11, FALSE) / VLOOKUP("industry|NOx|Respiratory hospital admissions", US_national_yearly!$D:$AM, 10, FALSE), 1)</f>
        <v>4.7297047188838962E-5</v>
      </c>
      <c r="D12" s="7">
        <f>$B12 * IFERROR(VLOOKUP("industry|NOx|Respiratory hospital admissions", US_national_yearly!$D:$AM, 12, FALSE) / VLOOKUP("industry|NOx|Respiratory hospital admissions", US_national_yearly!$D:$AM, 10, FALSE), 1)</f>
        <v>4.8456184344409581E-5</v>
      </c>
      <c r="E12" s="7">
        <f>$B12 * IFERROR(VLOOKUP("industry|NOx|Respiratory hospital admissions", US_national_yearly!$D:$AM, 13, FALSE) / VLOOKUP("industry|NOx|Respiratory hospital admissions", US_national_yearly!$D:$AM, 10, FALSE), 1)</f>
        <v>4.9615321499980208E-5</v>
      </c>
      <c r="F12" s="7">
        <f>$B12 * IFERROR(VLOOKUP("industry|NOx|Respiratory hospital admissions", US_national_yearly!$D:$AM, 14, FALSE) / VLOOKUP("industry|NOx|Respiratory hospital admissions", US_national_yearly!$D:$AM, 10, FALSE), 1)</f>
        <v>5.0774458655550814E-5</v>
      </c>
      <c r="G12" s="7">
        <f>$B12 * IFERROR(VLOOKUP("industry|NOx|Respiratory hospital admissions", US_national_yearly!$D:$AM, 15, FALSE) / VLOOKUP("industry|NOx|Respiratory hospital admissions", US_national_yearly!$D:$AM, 10, FALSE), 1)</f>
        <v>5.1883224888491128E-5</v>
      </c>
      <c r="H12" s="7">
        <f>$B12 * IFERROR(VLOOKUP("industry|NOx|Respiratory hospital admissions", US_national_yearly!$D:$AM, 16, FALSE) / VLOOKUP("industry|NOx|Respiratory hospital admissions", US_national_yearly!$D:$AM, 10, FALSE), 1)</f>
        <v>5.2991991121431435E-5</v>
      </c>
      <c r="I12" s="7">
        <f>$B12 * IFERROR(VLOOKUP("industry|NOx|Respiratory hospital admissions", US_national_yearly!$D:$AM, 17, FALSE) / VLOOKUP("industry|NOx|Respiratory hospital admissions", US_national_yearly!$D:$AM, 10, FALSE), 1)</f>
        <v>5.3936256130496803E-5</v>
      </c>
      <c r="J12" s="7">
        <f>$B12 * IFERROR(VLOOKUP("industry|NOx|Respiratory hospital admissions", US_national_yearly!$D:$AM, 18, FALSE) / VLOOKUP("industry|NOx|Respiratory hospital admissions", US_national_yearly!$D:$AM, 10, FALSE), 1)</f>
        <v>5.4880521139562178E-5</v>
      </c>
      <c r="K12" s="7">
        <f>$B12 * IFERROR(VLOOKUP("industry|NOx|Respiratory hospital admissions", US_national_yearly!$D:$AM, 19, FALSE) / VLOOKUP("industry|NOx|Respiratory hospital admissions", US_national_yearly!$D:$AM, 10, FALSE), 1)</f>
        <v>5.582478614862756E-5</v>
      </c>
      <c r="L12" s="7">
        <f>$B12 * IFERROR(VLOOKUP("industry|NOx|Respiratory hospital admissions", US_national_yearly!$D:$AM, 20, FALSE) / VLOOKUP("industry|NOx|Respiratory hospital admissions", US_national_yearly!$D:$AM, 10, FALSE), 1)</f>
        <v>5.6769051157692941E-5</v>
      </c>
      <c r="M12" s="7">
        <f>$B12 * IFERROR(VLOOKUP("industry|NOx|Respiratory hospital admissions", US_national_yearly!$D:$AM, 21, FALSE) / VLOOKUP("industry|NOx|Respiratory hospital admissions", US_national_yearly!$D:$AM, 10, FALSE), 1)</f>
        <v>5.7713316166758316E-5</v>
      </c>
      <c r="N12" s="7">
        <f>$B12 * IFERROR(VLOOKUP("industry|NOx|Respiratory hospital admissions", US_national_yearly!$D:$AM, 22, FALSE) / VLOOKUP("industry|NOx|Respiratory hospital admissions", US_national_yearly!$D:$AM, 10, FALSE), 1)</f>
        <v>5.8346178617781556E-5</v>
      </c>
      <c r="O12" s="7">
        <f>$B12 * IFERROR(VLOOKUP("industry|NOx|Respiratory hospital admissions", US_national_yearly!$D:$AM, 23, FALSE) / VLOOKUP("industry|NOx|Respiratory hospital admissions", US_national_yearly!$D:$AM, 10, FALSE), 1)</f>
        <v>5.8979041068804782E-5</v>
      </c>
      <c r="P12" s="7">
        <f>$B12 * IFERROR(VLOOKUP("industry|NOx|Respiratory hospital admissions", US_national_yearly!$D:$AM, 24, FALSE) / VLOOKUP("industry|NOx|Respiratory hospital admissions", US_national_yearly!$D:$AM, 10, FALSE), 1)</f>
        <v>5.9611903519828022E-5</v>
      </c>
      <c r="Q12" s="7">
        <f>$B12 * IFERROR(VLOOKUP("industry|NOx|Respiratory hospital admissions", US_national_yearly!$D:$AM, 25, FALSE) / VLOOKUP("industry|NOx|Respiratory hospital admissions", US_national_yearly!$D:$AM, 10, FALSE), 1)</f>
        <v>6.0244765970851255E-5</v>
      </c>
      <c r="R12" s="7">
        <f>$B12 * IFERROR(VLOOKUP("industry|NOx|Respiratory hospital admissions", US_national_yearly!$D:$AM, 26, FALSE) / VLOOKUP("industry|NOx|Respiratory hospital admissions", US_national_yearly!$D:$AM, 10, FALSE), 1)</f>
        <v>6.0877628421874495E-5</v>
      </c>
      <c r="S12" s="7">
        <f>$B12 * IFERROR(VLOOKUP("industry|NOx|Respiratory hospital admissions", US_national_yearly!$D:$AM, 27, FALSE) / VLOOKUP("industry|NOx|Respiratory hospital admissions", US_national_yearly!$D:$AM, 10, FALSE), 1)</f>
        <v>6.1221217745186969E-5</v>
      </c>
      <c r="T12" s="7">
        <f>$B12 * IFERROR(VLOOKUP("industry|NOx|Respiratory hospital admissions", US_national_yearly!$D:$AM, 28, FALSE) / VLOOKUP("industry|NOx|Respiratory hospital admissions", US_national_yearly!$D:$AM, 10, FALSE), 1)</f>
        <v>6.1564807068499456E-5</v>
      </c>
      <c r="U12" s="7">
        <f>$B12 * IFERROR(VLOOKUP("industry|NOx|Respiratory hospital admissions", US_national_yearly!$D:$AM, 29, FALSE) / VLOOKUP("industry|NOx|Respiratory hospital admissions", US_national_yearly!$D:$AM, 10, FALSE), 1)</f>
        <v>6.1908396391811916E-5</v>
      </c>
      <c r="V12" s="7">
        <f>$B12 * IFERROR(VLOOKUP("industry|NOx|Respiratory hospital admissions", US_national_yearly!$D:$AM, 30, FALSE) / VLOOKUP("industry|NOx|Respiratory hospital admissions", US_national_yearly!$D:$AM, 10, FALSE), 1)</f>
        <v>6.225198571512439E-5</v>
      </c>
      <c r="W12" s="7">
        <f>$B12 * IFERROR(VLOOKUP("industry|NOx|Respiratory hospital admissions", US_national_yearly!$D:$AM, 31, FALSE) / VLOOKUP("industry|NOx|Respiratory hospital admissions", US_national_yearly!$D:$AM, 10, FALSE), 1)</f>
        <v>6.2595575038436877E-5</v>
      </c>
      <c r="X12" s="7">
        <f>$B12 * IFERROR(VLOOKUP("industry|NOx|Respiratory hospital admissions", US_national_yearly!$D:$AM, 32, FALSE) / VLOOKUP("industry|NOx|Respiratory hospital admissions", US_national_yearly!$D:$AM, 10, FALSE), 1)</f>
        <v>6.2835146680157892E-5</v>
      </c>
      <c r="Y12" s="7">
        <f>$B12 * IFERROR(VLOOKUP("industry|NOx|Respiratory hospital admissions", US_national_yearly!$D:$AM, 33, FALSE) / VLOOKUP("industry|NOx|Respiratory hospital admissions", US_national_yearly!$D:$AM, 10, FALSE), 1)</f>
        <v>6.3074718321878907E-5</v>
      </c>
      <c r="Z12" s="7">
        <f>$B12 * IFERROR(VLOOKUP("industry|NOx|Respiratory hospital admissions", US_national_yearly!$D:$AM, 34, FALSE) / VLOOKUP("industry|NOx|Respiratory hospital admissions", US_national_yearly!$D:$AM, 10, FALSE), 1)</f>
        <v>6.3314289963599922E-5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6.3553861605320937E-5</v>
      </c>
      <c r="AB12" s="7">
        <f>$B12 * IFERROR(VLOOKUP("industry|NOx|Respiratory hospital admissions", US_national_yearly!$D:$AM, 36, FALSE) / VLOOKUP("industry|NOx|Respiratory hospital admissions", US_national_yearly!$D:$AM, 10, FALSE), 1)</f>
        <v>6.3793433247041952E-5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2.8818158259639174E-4</v>
      </c>
      <c r="C13" s="7">
        <f>$B13 * IFERROR(VLOOKUP("industry|NOx|Non-fatal heart attacks", US_national_yearly!$D:$AM, 11, FALSE) / VLOOKUP("industry|NOx|Non-fatal heart attacks", US_national_yearly!$D:$AM, 10, FALSE), 1)</f>
        <v>2.9641520656983249E-4</v>
      </c>
      <c r="D13" s="7">
        <f>$B13 * IFERROR(VLOOKUP("industry|NOx|Non-fatal heart attacks", US_national_yearly!$D:$AM, 12, FALSE) / VLOOKUP("industry|NOx|Non-fatal heart attacks", US_national_yearly!$D:$AM, 10, FALSE), 1)</f>
        <v>3.0464883054327318E-4</v>
      </c>
      <c r="E13" s="7">
        <f>$B13 * IFERROR(VLOOKUP("industry|NOx|Non-fatal heart attacks", US_national_yearly!$D:$AM, 13, FALSE) / VLOOKUP("industry|NOx|Non-fatal heart attacks", US_national_yearly!$D:$AM, 10, FALSE), 1)</f>
        <v>3.1288245451671393E-4</v>
      </c>
      <c r="F13" s="7">
        <f>$B13 * IFERROR(VLOOKUP("industry|NOx|Non-fatal heart attacks", US_national_yearly!$D:$AM, 14, FALSE) / VLOOKUP("industry|NOx|Non-fatal heart attacks", US_national_yearly!$D:$AM, 10, FALSE), 1)</f>
        <v>3.2111607849015468E-4</v>
      </c>
      <c r="G13" s="7">
        <f>$B13 * IFERROR(VLOOKUP("industry|NOx|Non-fatal heart attacks", US_national_yearly!$D:$AM, 15, FALSE) / VLOOKUP("industry|NOx|Non-fatal heart attacks", US_national_yearly!$D:$AM, 10, FALSE), 1)</f>
        <v>3.288169154030053E-4</v>
      </c>
      <c r="H13" s="7">
        <f>$B13 * IFERROR(VLOOKUP("industry|NOx|Non-fatal heart attacks", US_national_yearly!$D:$AM, 16, FALSE) / VLOOKUP("industry|NOx|Non-fatal heart attacks", US_national_yearly!$D:$AM, 10, FALSE), 1)</f>
        <v>3.3651775231585592E-4</v>
      </c>
      <c r="I13" s="7">
        <f>$B13 * IFERROR(VLOOKUP("industry|NOx|Non-fatal heart attacks", US_national_yearly!$D:$AM, 17, FALSE) / VLOOKUP("industry|NOx|Non-fatal heart attacks", US_national_yearly!$D:$AM, 10, FALSE), 1)</f>
        <v>3.4260830480836648E-4</v>
      </c>
      <c r="J13" s="7">
        <f>$B13 * IFERROR(VLOOKUP("industry|NOx|Non-fatal heart attacks", US_national_yearly!$D:$AM, 18, FALSE) / VLOOKUP("industry|NOx|Non-fatal heart attacks", US_national_yearly!$D:$AM, 10, FALSE), 1)</f>
        <v>3.4869885730087703E-4</v>
      </c>
      <c r="K13" s="7">
        <f>$B13 * IFERROR(VLOOKUP("industry|NOx|Non-fatal heart attacks", US_national_yearly!$D:$AM, 19, FALSE) / VLOOKUP("industry|NOx|Non-fatal heart attacks", US_national_yearly!$D:$AM, 10, FALSE), 1)</f>
        <v>3.5478940979338742E-4</v>
      </c>
      <c r="L13" s="7">
        <f>$B13 * IFERROR(VLOOKUP("industry|NOx|Non-fatal heart attacks", US_national_yearly!$D:$AM, 20, FALSE) / VLOOKUP("industry|NOx|Non-fatal heart attacks", US_national_yearly!$D:$AM, 10, FALSE), 1)</f>
        <v>3.6087996228589809E-4</v>
      </c>
      <c r="M13" s="7">
        <f>$B13 * IFERROR(VLOOKUP("industry|NOx|Non-fatal heart attacks", US_national_yearly!$D:$AM, 21, FALSE) / VLOOKUP("industry|NOx|Non-fatal heart attacks", US_national_yearly!$D:$AM, 10, FALSE), 1)</f>
        <v>3.6697051477840869E-4</v>
      </c>
      <c r="N13" s="7">
        <f>$B13 * IFERROR(VLOOKUP("industry|NOx|Non-fatal heart attacks", US_national_yearly!$D:$AM, 22, FALSE) / VLOOKUP("industry|NOx|Non-fatal heart attacks", US_national_yearly!$D:$AM, 10, FALSE), 1)</f>
        <v>3.7063978033653581E-4</v>
      </c>
      <c r="O13" s="7">
        <f>$B13 * IFERROR(VLOOKUP("industry|NOx|Non-fatal heart attacks", US_national_yearly!$D:$AM, 23, FALSE) / VLOOKUP("industry|NOx|Non-fatal heart attacks", US_national_yearly!$D:$AM, 10, FALSE), 1)</f>
        <v>3.7430904589466288E-4</v>
      </c>
      <c r="P13" s="7">
        <f>$B13 * IFERROR(VLOOKUP("industry|NOx|Non-fatal heart attacks", US_national_yearly!$D:$AM, 24, FALSE) / VLOOKUP("industry|NOx|Non-fatal heart attacks", US_national_yearly!$D:$AM, 10, FALSE), 1)</f>
        <v>3.7797831145278994E-4</v>
      </c>
      <c r="Q13" s="7">
        <f>$B13 * IFERROR(VLOOKUP("industry|NOx|Non-fatal heart attacks", US_national_yearly!$D:$AM, 25, FALSE) / VLOOKUP("industry|NOx|Non-fatal heart attacks", US_national_yearly!$D:$AM, 10, FALSE), 1)</f>
        <v>3.8164757701091701E-4</v>
      </c>
      <c r="R13" s="7">
        <f>$B13 * IFERROR(VLOOKUP("industry|NOx|Non-fatal heart attacks", US_national_yearly!$D:$AM, 26, FALSE) / VLOOKUP("industry|NOx|Non-fatal heart attacks", US_national_yearly!$D:$AM, 10, FALSE), 1)</f>
        <v>3.8531684256904407E-4</v>
      </c>
      <c r="S13" s="7">
        <f>$B13 * IFERROR(VLOOKUP("industry|NOx|Non-fatal heart attacks", US_national_yearly!$D:$AM, 27, FALSE) / VLOOKUP("industry|NOx|Non-fatal heart attacks", US_national_yearly!$D:$AM, 10, FALSE), 1)</f>
        <v>3.8700037479581339E-4</v>
      </c>
      <c r="T13" s="7">
        <f>$B13 * IFERROR(VLOOKUP("industry|NOx|Non-fatal heart attacks", US_national_yearly!$D:$AM, 28, FALSE) / VLOOKUP("industry|NOx|Non-fatal heart attacks", US_national_yearly!$D:$AM, 10, FALSE), 1)</f>
        <v>3.8868390702258266E-4</v>
      </c>
      <c r="U13" s="7">
        <f>$B13 * IFERROR(VLOOKUP("industry|NOx|Non-fatal heart attacks", US_national_yearly!$D:$AM, 29, FALSE) / VLOOKUP("industry|NOx|Non-fatal heart attacks", US_national_yearly!$D:$AM, 10, FALSE), 1)</f>
        <v>3.9036743924935192E-4</v>
      </c>
      <c r="V13" s="7">
        <f>$B13 * IFERROR(VLOOKUP("industry|NOx|Non-fatal heart attacks", US_national_yearly!$D:$AM, 30, FALSE) / VLOOKUP("industry|NOx|Non-fatal heart attacks", US_national_yearly!$D:$AM, 10, FALSE), 1)</f>
        <v>3.9205097147612124E-4</v>
      </c>
      <c r="W13" s="7">
        <f>$B13 * IFERROR(VLOOKUP("industry|NOx|Non-fatal heart attacks", US_national_yearly!$D:$AM, 31, FALSE) / VLOOKUP("industry|NOx|Non-fatal heart attacks", US_national_yearly!$D:$AM, 10, FALSE), 1)</f>
        <v>3.9373450370289051E-4</v>
      </c>
      <c r="X13" s="7">
        <f>$B13 * IFERROR(VLOOKUP("industry|NOx|Non-fatal heart attacks", US_national_yearly!$D:$AM, 32, FALSE) / VLOOKUP("industry|NOx|Non-fatal heart attacks", US_national_yearly!$D:$AM, 10, FALSE), 1)</f>
        <v>3.9487070351724372E-4</v>
      </c>
      <c r="Y13" s="7">
        <f>$B13 * IFERROR(VLOOKUP("industry|NOx|Non-fatal heart attacks", US_national_yearly!$D:$AM, 33, FALSE) / VLOOKUP("industry|NOx|Non-fatal heart attacks", US_national_yearly!$D:$AM, 10, FALSE), 1)</f>
        <v>3.9600690333159693E-4</v>
      </c>
      <c r="Z13" s="7">
        <f>$B13 * IFERROR(VLOOKUP("industry|NOx|Non-fatal heart attacks", US_national_yearly!$D:$AM, 34, FALSE) / VLOOKUP("industry|NOx|Non-fatal heart attacks", US_national_yearly!$D:$AM, 10, FALSE), 1)</f>
        <v>3.9714310314595009E-4</v>
      </c>
      <c r="AA13" s="7">
        <f>$B13 * IFERROR(VLOOKUP("industry|NOx|Non-fatal heart attacks", US_national_yearly!$D:$AM, 35, FALSE) / VLOOKUP("industry|NOx|Non-fatal heart attacks", US_national_yearly!$D:$AM, 10, FALSE), 1)</f>
        <v>3.982793029603033E-4</v>
      </c>
      <c r="AB13" s="7">
        <f>$B13 * IFERROR(VLOOKUP("industry|NOx|Non-fatal heart attacks", US_national_yearly!$D:$AM, 36, FALSE) / VLOOKUP("industry|NOx|Non-fatal heart attacks", US_national_yearly!$D:$AM, 10, FALSE), 1)</f>
        <v>3.9941550277465646E-4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0.20792760165237026</v>
      </c>
      <c r="C14" s="7">
        <f>$B14 * IFERROR(VLOOKUP("industry|NOx|Minor restricted activity days", US_national_yearly!$D:$AM, 11, FALSE) / VLOOKUP("industry|NOx|Minor restricted activity days", US_national_yearly!$D:$AM, 10, FALSE), 1)</f>
        <v>0.20823566243885105</v>
      </c>
      <c r="D14" s="7">
        <f>$B14 * IFERROR(VLOOKUP("industry|NOx|Minor restricted activity days", US_national_yearly!$D:$AM, 12, FALSE) / VLOOKUP("industry|NOx|Minor restricted activity days", US_national_yearly!$D:$AM, 10, FALSE), 1)</f>
        <v>0.20854372322533177</v>
      </c>
      <c r="E14" s="7">
        <f>$B14 * IFERROR(VLOOKUP("industry|NOx|Minor restricted activity days", US_national_yearly!$D:$AM, 13, FALSE) / VLOOKUP("industry|NOx|Minor restricted activity days", US_national_yearly!$D:$AM, 10, FALSE), 1)</f>
        <v>0.20885178401181256</v>
      </c>
      <c r="F14" s="7">
        <f>$B14 * IFERROR(VLOOKUP("industry|NOx|Minor restricted activity days", US_national_yearly!$D:$AM, 14, FALSE) / VLOOKUP("industry|NOx|Minor restricted activity days", US_national_yearly!$D:$AM, 10, FALSE), 1)</f>
        <v>0.2091598447982933</v>
      </c>
      <c r="G14" s="7">
        <f>$B14 * IFERROR(VLOOKUP("industry|NOx|Minor restricted activity days", US_national_yearly!$D:$AM, 15, FALSE) / VLOOKUP("industry|NOx|Minor restricted activity days", US_national_yearly!$D:$AM, 10, FALSE), 1)</f>
        <v>0.20972064065077575</v>
      </c>
      <c r="H14" s="7">
        <f>$B14 * IFERROR(VLOOKUP("industry|NOx|Minor restricted activity days", US_national_yearly!$D:$AM, 16, FALSE) / VLOOKUP("industry|NOx|Minor restricted activity days", US_national_yearly!$D:$AM, 10, FALSE), 1)</f>
        <v>0.2102814365032582</v>
      </c>
      <c r="I14" s="7">
        <f>$B14 * IFERROR(VLOOKUP("industry|NOx|Minor restricted activity days", US_national_yearly!$D:$AM, 17, FALSE) / VLOOKUP("industry|NOx|Minor restricted activity days", US_national_yearly!$D:$AM, 10, FALSE), 1)</f>
        <v>0.21138544296677914</v>
      </c>
      <c r="J14" s="7">
        <f>$B14 * IFERROR(VLOOKUP("industry|NOx|Minor restricted activity days", US_national_yearly!$D:$AM, 18, FALSE) / VLOOKUP("industry|NOx|Minor restricted activity days", US_national_yearly!$D:$AM, 10, FALSE), 1)</f>
        <v>0.21248944943029999</v>
      </c>
      <c r="K14" s="7">
        <f>$B14 * IFERROR(VLOOKUP("industry|NOx|Minor restricted activity days", US_national_yearly!$D:$AM, 19, FALSE) / VLOOKUP("industry|NOx|Minor restricted activity days", US_national_yearly!$D:$AM, 10, FALSE), 1)</f>
        <v>0.21359345589382081</v>
      </c>
      <c r="L14" s="7">
        <f>$B14 * IFERROR(VLOOKUP("industry|NOx|Minor restricted activity days", US_national_yearly!$D:$AM, 20, FALSE) / VLOOKUP("industry|NOx|Minor restricted activity days", US_national_yearly!$D:$AM, 10, FALSE), 1)</f>
        <v>0.21469746235734172</v>
      </c>
      <c r="M14" s="7">
        <f>$B14 * IFERROR(VLOOKUP("industry|NOx|Minor restricted activity days", US_national_yearly!$D:$AM, 21, FALSE) / VLOOKUP("industry|NOx|Minor restricted activity days", US_national_yearly!$D:$AM, 10, FALSE), 1)</f>
        <v>0.21580146882086257</v>
      </c>
      <c r="N14" s="7">
        <f>$B14 * IFERROR(VLOOKUP("industry|NOx|Minor restricted activity days", US_national_yearly!$D:$AM, 22, FALSE) / VLOOKUP("industry|NOx|Minor restricted activity days", US_national_yearly!$D:$AM, 10, FALSE), 1)</f>
        <v>0.21739131193344546</v>
      </c>
      <c r="O14" s="7">
        <f>$B14 * IFERROR(VLOOKUP("industry|NOx|Minor restricted activity days", US_national_yearly!$D:$AM, 23, FALSE) / VLOOKUP("industry|NOx|Minor restricted activity days", US_national_yearly!$D:$AM, 10, FALSE), 1)</f>
        <v>0.21898115504602839</v>
      </c>
      <c r="P14" s="7">
        <f>$B14 * IFERROR(VLOOKUP("industry|NOx|Minor restricted activity days", US_national_yearly!$D:$AM, 24, FALSE) / VLOOKUP("industry|NOx|Minor restricted activity days", US_national_yearly!$D:$AM, 10, FALSE), 1)</f>
        <v>0.22057099815861134</v>
      </c>
      <c r="Q14" s="7">
        <f>$B14 * IFERROR(VLOOKUP("industry|NOx|Minor restricted activity days", US_national_yearly!$D:$AM, 25, FALSE) / VLOOKUP("industry|NOx|Minor restricted activity days", US_national_yearly!$D:$AM, 10, FALSE), 1)</f>
        <v>0.2221608412711942</v>
      </c>
      <c r="R14" s="7">
        <f>$B14 * IFERROR(VLOOKUP("industry|NOx|Minor restricted activity days", US_national_yearly!$D:$AM, 26, FALSE) / VLOOKUP("industry|NOx|Minor restricted activity days", US_national_yearly!$D:$AM, 10, FALSE), 1)</f>
        <v>0.22375068438377715</v>
      </c>
      <c r="S14" s="7">
        <f>$B14 * IFERROR(VLOOKUP("industry|NOx|Minor restricted activity days", US_national_yearly!$D:$AM, 27, FALSE) / VLOOKUP("industry|NOx|Minor restricted activity days", US_national_yearly!$D:$AM, 10, FALSE), 1)</f>
        <v>0.2253422296361719</v>
      </c>
      <c r="T14" s="7">
        <f>$B14 * IFERROR(VLOOKUP("industry|NOx|Minor restricted activity days", US_national_yearly!$D:$AM, 28, FALSE) / VLOOKUP("industry|NOx|Minor restricted activity days", US_national_yearly!$D:$AM, 10, FALSE), 1)</f>
        <v>0.2269337748885667</v>
      </c>
      <c r="U14" s="7">
        <f>$B14 * IFERROR(VLOOKUP("industry|NOx|Minor restricted activity days", US_national_yearly!$D:$AM, 29, FALSE) / VLOOKUP("industry|NOx|Minor restricted activity days", US_national_yearly!$D:$AM, 10, FALSE), 1)</f>
        <v>0.2285253201409615</v>
      </c>
      <c r="V14" s="7">
        <f>$B14 * IFERROR(VLOOKUP("industry|NOx|Minor restricted activity days", US_national_yearly!$D:$AM, 30, FALSE) / VLOOKUP("industry|NOx|Minor restricted activity days", US_national_yearly!$D:$AM, 10, FALSE), 1)</f>
        <v>0.23011686539335632</v>
      </c>
      <c r="W14" s="7">
        <f>$B14 * IFERROR(VLOOKUP("industry|NOx|Minor restricted activity days", US_national_yearly!$D:$AM, 31, FALSE) / VLOOKUP("industry|NOx|Minor restricted activity days", US_national_yearly!$D:$AM, 10, FALSE), 1)</f>
        <v>0.23170841064575112</v>
      </c>
      <c r="X14" s="7">
        <f>$B14 * IFERROR(VLOOKUP("industry|NOx|Minor restricted activity days", US_national_yearly!$D:$AM, 32, FALSE) / VLOOKUP("industry|NOx|Minor restricted activity days", US_national_yearly!$D:$AM, 10, FALSE), 1)</f>
        <v>0.23305212907453476</v>
      </c>
      <c r="Y14" s="7">
        <f>$B14 * IFERROR(VLOOKUP("industry|NOx|Minor restricted activity days", US_national_yearly!$D:$AM, 33, FALSE) / VLOOKUP("industry|NOx|Minor restricted activity days", US_national_yearly!$D:$AM, 10, FALSE), 1)</f>
        <v>0.23439584750331835</v>
      </c>
      <c r="Z14" s="7">
        <f>$B14 * IFERROR(VLOOKUP("industry|NOx|Minor restricted activity days", US_national_yearly!$D:$AM, 34, FALSE) / VLOOKUP("industry|NOx|Minor restricted activity days", US_national_yearly!$D:$AM, 10, FALSE), 1)</f>
        <v>0.23573956593210194</v>
      </c>
      <c r="AA14" s="7">
        <f>$B14 * IFERROR(VLOOKUP("industry|NOx|Minor restricted activity days", US_national_yearly!$D:$AM, 35, FALSE) / VLOOKUP("industry|NOx|Minor restricted activity days", US_national_yearly!$D:$AM, 10, FALSE), 1)</f>
        <v>0.23708328436088558</v>
      </c>
      <c r="AB14" s="7">
        <f>$B14 * IFERROR(VLOOKUP("industry|NOx|Minor restricted activity days", US_national_yearly!$D:$AM, 36, FALSE) / VLOOKUP("industry|NOx|Minor restricted activity days", US_national_yearly!$D:$AM, 10, FALSE), 1)</f>
        <v>0.23842700278966922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3.511417201134532E-2</v>
      </c>
      <c r="C15" s="7">
        <f>$B15 * IFERROR(VLOOKUP("industry|NOx|Work loss days", US_national_yearly!$D:$AM, 11, FALSE) / VLOOKUP("industry|NOx|Work loss days", US_national_yearly!$D:$AM, 10, FALSE), 1)</f>
        <v>3.519025307601676E-2</v>
      </c>
      <c r="D15" s="7">
        <f>$B15 * IFERROR(VLOOKUP("industry|NOx|Work loss days", US_national_yearly!$D:$AM, 12, FALSE) / VLOOKUP("industry|NOx|Work loss days", US_national_yearly!$D:$AM, 10, FALSE), 1)</f>
        <v>3.5266334140688194E-2</v>
      </c>
      <c r="E15" s="7">
        <f>$B15 * IFERROR(VLOOKUP("industry|NOx|Work loss days", US_national_yearly!$D:$AM, 13, FALSE) / VLOOKUP("industry|NOx|Work loss days", US_national_yearly!$D:$AM, 10, FALSE), 1)</f>
        <v>3.5342415205359634E-2</v>
      </c>
      <c r="F15" s="7">
        <f>$B15 * IFERROR(VLOOKUP("industry|NOx|Work loss days", US_national_yearly!$D:$AM, 14, FALSE) / VLOOKUP("industry|NOx|Work loss days", US_national_yearly!$D:$AM, 10, FALSE), 1)</f>
        <v>3.5418496270031068E-2</v>
      </c>
      <c r="G15" s="7">
        <f>$B15 * IFERROR(VLOOKUP("industry|NOx|Work loss days", US_national_yearly!$D:$AM, 15, FALSE) / VLOOKUP("industry|NOx|Work loss days", US_national_yearly!$D:$AM, 10, FALSE), 1)</f>
        <v>3.5529783785959342E-2</v>
      </c>
      <c r="H15" s="7">
        <f>$B15 * IFERROR(VLOOKUP("industry|NOx|Work loss days", US_national_yearly!$D:$AM, 16, FALSE) / VLOOKUP("industry|NOx|Work loss days", US_national_yearly!$D:$AM, 10, FALSE), 1)</f>
        <v>3.5641071301887615E-2</v>
      </c>
      <c r="I15" s="7">
        <f>$B15 * IFERROR(VLOOKUP("industry|NOx|Work loss days", US_national_yearly!$D:$AM, 17, FALSE) / VLOOKUP("industry|NOx|Work loss days", US_national_yearly!$D:$AM, 10, FALSE), 1)</f>
        <v>3.5821885297809088E-2</v>
      </c>
      <c r="J15" s="7">
        <f>$B15 * IFERROR(VLOOKUP("industry|NOx|Work loss days", US_national_yearly!$D:$AM, 18, FALSE) / VLOOKUP("industry|NOx|Work loss days", US_national_yearly!$D:$AM, 10, FALSE), 1)</f>
        <v>3.6002699293730553E-2</v>
      </c>
      <c r="K15" s="7">
        <f>$B15 * IFERROR(VLOOKUP("industry|NOx|Work loss days", US_national_yearly!$D:$AM, 19, FALSE) / VLOOKUP("industry|NOx|Work loss days", US_national_yearly!$D:$AM, 10, FALSE), 1)</f>
        <v>3.6183513289652032E-2</v>
      </c>
      <c r="L15" s="7">
        <f>$B15 * IFERROR(VLOOKUP("industry|NOx|Work loss days", US_national_yearly!$D:$AM, 20, FALSE) / VLOOKUP("industry|NOx|Work loss days", US_national_yearly!$D:$AM, 10, FALSE), 1)</f>
        <v>3.6364327285573497E-2</v>
      </c>
      <c r="M15" s="7">
        <f>$B15 * IFERROR(VLOOKUP("industry|NOx|Work loss days", US_national_yearly!$D:$AM, 21, FALSE) / VLOOKUP("industry|NOx|Work loss days", US_national_yearly!$D:$AM, 10, FALSE), 1)</f>
        <v>3.6545141281494969E-2</v>
      </c>
      <c r="N15" s="7">
        <f>$B15 * IFERROR(VLOOKUP("industry|NOx|Work loss days", US_national_yearly!$D:$AM, 22, FALSE) / VLOOKUP("industry|NOx|Work loss days", US_national_yearly!$D:$AM, 10, FALSE), 1)</f>
        <v>3.6781604983748627E-2</v>
      </c>
      <c r="O15" s="7">
        <f>$B15 * IFERROR(VLOOKUP("industry|NOx|Work loss days", US_national_yearly!$D:$AM, 23, FALSE) / VLOOKUP("industry|NOx|Work loss days", US_national_yearly!$D:$AM, 10, FALSE), 1)</f>
        <v>3.7018068686002291E-2</v>
      </c>
      <c r="P15" s="7">
        <f>$B15 * IFERROR(VLOOKUP("industry|NOx|Work loss days", US_national_yearly!$D:$AM, 24, FALSE) / VLOOKUP("industry|NOx|Work loss days", US_national_yearly!$D:$AM, 10, FALSE), 1)</f>
        <v>3.7254532388255948E-2</v>
      </c>
      <c r="Q15" s="7">
        <f>$B15 * IFERROR(VLOOKUP("industry|NOx|Work loss days", US_national_yearly!$D:$AM, 25, FALSE) / VLOOKUP("industry|NOx|Work loss days", US_national_yearly!$D:$AM, 10, FALSE), 1)</f>
        <v>3.7490996090509598E-2</v>
      </c>
      <c r="R15" s="7">
        <f>$B15 * IFERROR(VLOOKUP("industry|NOx|Work loss days", US_national_yearly!$D:$AM, 26, FALSE) / VLOOKUP("industry|NOx|Work loss days", US_national_yearly!$D:$AM, 10, FALSE), 1)</f>
        <v>3.7727459792763263E-2</v>
      </c>
      <c r="S15" s="7">
        <f>$B15 * IFERROR(VLOOKUP("industry|NOx|Work loss days", US_national_yearly!$D:$AM, 27, FALSE) / VLOOKUP("industry|NOx|Work loss days", US_national_yearly!$D:$AM, 10, FALSE), 1)</f>
        <v>3.7991811888825271E-2</v>
      </c>
      <c r="T15" s="7">
        <f>$B15 * IFERROR(VLOOKUP("industry|NOx|Work loss days", US_national_yearly!$D:$AM, 28, FALSE) / VLOOKUP("industry|NOx|Work loss days", US_national_yearly!$D:$AM, 10, FALSE), 1)</f>
        <v>3.8256163984887293E-2</v>
      </c>
      <c r="U15" s="7">
        <f>$B15 * IFERROR(VLOOKUP("industry|NOx|Work loss days", US_national_yearly!$D:$AM, 29, FALSE) / VLOOKUP("industry|NOx|Work loss days", US_national_yearly!$D:$AM, 10, FALSE), 1)</f>
        <v>3.8520516080949307E-2</v>
      </c>
      <c r="V15" s="7">
        <f>$B15 * IFERROR(VLOOKUP("industry|NOx|Work loss days", US_national_yearly!$D:$AM, 30, FALSE) / VLOOKUP("industry|NOx|Work loss days", US_national_yearly!$D:$AM, 10, FALSE), 1)</f>
        <v>3.8784868177011315E-2</v>
      </c>
      <c r="W15" s="7">
        <f>$B15 * IFERROR(VLOOKUP("industry|NOx|Work loss days", US_national_yearly!$D:$AM, 31, FALSE) / VLOOKUP("industry|NOx|Work loss days", US_national_yearly!$D:$AM, 10, FALSE), 1)</f>
        <v>3.9049220273073337E-2</v>
      </c>
      <c r="X15" s="7">
        <f>$B15 * IFERROR(VLOOKUP("industry|NOx|Work loss days", US_national_yearly!$D:$AM, 32, FALSE) / VLOOKUP("industry|NOx|Work loss days", US_national_yearly!$D:$AM, 10, FALSE), 1)</f>
        <v>3.9278554935685543E-2</v>
      </c>
      <c r="Y15" s="7">
        <f>$B15 * IFERROR(VLOOKUP("industry|NOx|Work loss days", US_national_yearly!$D:$AM, 33, FALSE) / VLOOKUP("industry|NOx|Work loss days", US_national_yearly!$D:$AM, 10, FALSE), 1)</f>
        <v>3.9507889598297749E-2</v>
      </c>
      <c r="Z15" s="7">
        <f>$B15 * IFERROR(VLOOKUP("industry|NOx|Work loss days", US_national_yearly!$D:$AM, 34, FALSE) / VLOOKUP("industry|NOx|Work loss days", US_national_yearly!$D:$AM, 10, FALSE), 1)</f>
        <v>3.9737224260909955E-2</v>
      </c>
      <c r="AA15" s="7">
        <f>$B15 * IFERROR(VLOOKUP("industry|NOx|Work loss days", US_national_yearly!$D:$AM, 35, FALSE) / VLOOKUP("industry|NOx|Work loss days", US_national_yearly!$D:$AM, 10, FALSE), 1)</f>
        <v>3.9966558923522161E-2</v>
      </c>
      <c r="AB15" s="7">
        <f>$B15 * IFERROR(VLOOKUP("industry|NOx|Work loss days", US_national_yearly!$D:$AM, 36, FALSE) / VLOOKUP("industry|NOx|Work loss days", US_national_yearly!$D:$AM, 10, FALSE), 1)</f>
        <v>4.0195893586134374E-2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7.4434326297881441E-5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7.6619916943502484E-5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7.8805507589123526E-5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8.0991098234744569E-5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8.3176688880365625E-5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8.5253927010302347E-5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8.7331165140239084E-5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8.9082427186705428E-5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9.0833689233171772E-5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9.2584951279638103E-5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9.4336213326104448E-5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9.6087475372570779E-5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9.7183837479331836E-5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9.8280199586092852E-5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9.9376561692853896E-5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1.0047292379961494E-4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1.0156928590637596E-4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1.0207505930901282E-4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1.025808327116497E-4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1.0308660611428656E-4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1.0359237951692343E-4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1.0409815291956029E-4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1.0438391135733039E-4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1.0466966979510048E-4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1.0495542823287058E-4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1.0524118667064066E-4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1.0552694510841077E-4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3.0269614518380833E-3</v>
      </c>
      <c r="C2" s="7">
        <f>$B2 * IFERROR(VLOOKUP("industry|SO2|Premature mortality", US_national_yearly!$D:$AM, 11, FALSE) / VLOOKUP("industry|SO2|Premature mortality", US_national_yearly!$D:$AM, 10, FALSE), 1)</f>
        <v>3.0653339476276304E-3</v>
      </c>
      <c r="D2" s="7">
        <f>$B2 * IFERROR(VLOOKUP("industry|SO2|Premature mortality", US_national_yearly!$D:$AM, 12, FALSE) / VLOOKUP("industry|SO2|Premature mortality", US_national_yearly!$D:$AM, 10, FALSE), 1)</f>
        <v>3.1037064434171766E-3</v>
      </c>
      <c r="E2" s="7">
        <f>$B2 * IFERROR(VLOOKUP("industry|SO2|Premature mortality", US_national_yearly!$D:$AM, 13, FALSE) / VLOOKUP("industry|SO2|Premature mortality", US_national_yearly!$D:$AM, 10, FALSE), 1)</f>
        <v>3.1420789392067228E-3</v>
      </c>
      <c r="F2" s="7">
        <f>$B2 * IFERROR(VLOOKUP("industry|SO2|Premature mortality", US_national_yearly!$D:$AM, 14, FALSE) / VLOOKUP("industry|SO2|Premature mortality", US_national_yearly!$D:$AM, 10, FALSE), 1)</f>
        <v>3.1804514349962698E-3</v>
      </c>
      <c r="G2" s="7">
        <f>$B2 * IFERROR(VLOOKUP("industry|SO2|Premature mortality", US_national_yearly!$D:$AM, 15, FALSE) / VLOOKUP("industry|SO2|Premature mortality", US_national_yearly!$D:$AM, 10, FALSE), 1)</f>
        <v>3.2544130244688781E-3</v>
      </c>
      <c r="H2" s="7">
        <f>$B2 * IFERROR(VLOOKUP("industry|SO2|Premature mortality", US_national_yearly!$D:$AM, 16, FALSE) / VLOOKUP("industry|SO2|Premature mortality", US_national_yearly!$D:$AM, 10, FALSE), 1)</f>
        <v>3.3283746139414869E-3</v>
      </c>
      <c r="I2" s="7">
        <f>$B2 * IFERROR(VLOOKUP("industry|SO2|Premature mortality", US_national_yearly!$D:$AM, 17, FALSE) / VLOOKUP("industry|SO2|Premature mortality", US_national_yearly!$D:$AM, 10, FALSE), 1)</f>
        <v>3.3773498137118756E-3</v>
      </c>
      <c r="J2" s="7">
        <f>$B2 * IFERROR(VLOOKUP("industry|SO2|Premature mortality", US_national_yearly!$D:$AM, 18, FALSE) / VLOOKUP("industry|SO2|Premature mortality", US_national_yearly!$D:$AM, 10, FALSE), 1)</f>
        <v>3.4263250134822639E-3</v>
      </c>
      <c r="K2" s="7">
        <f>$B2 * IFERROR(VLOOKUP("industry|SO2|Premature mortality", US_national_yearly!$D:$AM, 19, FALSE) / VLOOKUP("industry|SO2|Premature mortality", US_national_yearly!$D:$AM, 10, FALSE), 1)</f>
        <v>3.4753002132526518E-3</v>
      </c>
      <c r="L2" s="7">
        <f>$B2 * IFERROR(VLOOKUP("industry|SO2|Premature mortality", US_national_yearly!$D:$AM, 20, FALSE) / VLOOKUP("industry|SO2|Premature mortality", US_national_yearly!$D:$AM, 10, FALSE), 1)</f>
        <v>3.5242754130230406E-3</v>
      </c>
      <c r="M2" s="7">
        <f>$B2 * IFERROR(VLOOKUP("industry|SO2|Premature mortality", US_national_yearly!$D:$AM, 21, FALSE) / VLOOKUP("industry|SO2|Premature mortality", US_national_yearly!$D:$AM, 10, FALSE), 1)</f>
        <v>3.5732506127934289E-3</v>
      </c>
      <c r="N2" s="7">
        <f>$B2 * IFERROR(VLOOKUP("industry|SO2|Premature mortality", US_national_yearly!$D:$AM, 22, FALSE) / VLOOKUP("industry|SO2|Premature mortality", US_national_yearly!$D:$AM, 10, FALSE), 1)</f>
        <v>3.6115608634240438E-3</v>
      </c>
      <c r="O2" s="7">
        <f>$B2 * IFERROR(VLOOKUP("industry|SO2|Premature mortality", US_national_yearly!$D:$AM, 23, FALSE) / VLOOKUP("industry|SO2|Premature mortality", US_national_yearly!$D:$AM, 10, FALSE), 1)</f>
        <v>3.6498711140546588E-3</v>
      </c>
      <c r="P2" s="7">
        <f>$B2 * IFERROR(VLOOKUP("industry|SO2|Premature mortality", US_national_yearly!$D:$AM, 24, FALSE) / VLOOKUP("industry|SO2|Premature mortality", US_national_yearly!$D:$AM, 10, FALSE), 1)</f>
        <v>3.6881813646852737E-3</v>
      </c>
      <c r="Q2" s="7">
        <f>$B2 * IFERROR(VLOOKUP("industry|SO2|Premature mortality", US_national_yearly!$D:$AM, 25, FALSE) / VLOOKUP("industry|SO2|Premature mortality", US_national_yearly!$D:$AM, 10, FALSE), 1)</f>
        <v>3.7264916153158887E-3</v>
      </c>
      <c r="R2" s="7">
        <f>$B2 * IFERROR(VLOOKUP("industry|SO2|Premature mortality", US_national_yearly!$D:$AM, 26, FALSE) / VLOOKUP("industry|SO2|Premature mortality", US_national_yearly!$D:$AM, 10, FALSE), 1)</f>
        <v>3.7648018659465037E-3</v>
      </c>
      <c r="S2" s="7">
        <f>$B2 * IFERROR(VLOOKUP("industry|SO2|Premature mortality", US_national_yearly!$D:$AM, 27, FALSE) / VLOOKUP("industry|SO2|Premature mortality", US_national_yearly!$D:$AM, 10, FALSE), 1)</f>
        <v>3.785487290749135E-3</v>
      </c>
      <c r="T2" s="7">
        <f>$B2 * IFERROR(VLOOKUP("industry|SO2|Premature mortality", US_national_yearly!$D:$AM, 28, FALSE) / VLOOKUP("industry|SO2|Premature mortality", US_national_yearly!$D:$AM, 10, FALSE), 1)</f>
        <v>3.8061727155517672E-3</v>
      </c>
      <c r="U2" s="7">
        <f>$B2 * IFERROR(VLOOKUP("industry|SO2|Premature mortality", US_national_yearly!$D:$AM, 29, FALSE) / VLOOKUP("industry|SO2|Premature mortality", US_national_yearly!$D:$AM, 10, FALSE), 1)</f>
        <v>3.8268581403544002E-3</v>
      </c>
      <c r="V2" s="7">
        <f>$B2 * IFERROR(VLOOKUP("industry|SO2|Premature mortality", US_national_yearly!$D:$AM, 30, FALSE) / VLOOKUP("industry|SO2|Premature mortality", US_national_yearly!$D:$AM, 10, FALSE), 1)</f>
        <v>3.847543565157032E-3</v>
      </c>
      <c r="W2" s="7">
        <f>$B2 * IFERROR(VLOOKUP("industry|SO2|Premature mortality", US_national_yearly!$D:$AM, 31, FALSE) / VLOOKUP("industry|SO2|Premature mortality", US_national_yearly!$D:$AM, 10, FALSE), 1)</f>
        <v>3.8682289899596642E-3</v>
      </c>
      <c r="X2" s="7">
        <f>$B2 * IFERROR(VLOOKUP("industry|SO2|Premature mortality", US_national_yearly!$D:$AM, 32, FALSE) / VLOOKUP("industry|SO2|Premature mortality", US_national_yearly!$D:$AM, 10, FALSE), 1)</f>
        <v>3.8726811245703204E-3</v>
      </c>
      <c r="Y2" s="7">
        <f>$B2 * IFERROR(VLOOKUP("industry|SO2|Premature mortality", US_national_yearly!$D:$AM, 33, FALSE) / VLOOKUP("industry|SO2|Premature mortality", US_national_yearly!$D:$AM, 10, FALSE), 1)</f>
        <v>3.8771332591809762E-3</v>
      </c>
      <c r="Z2" s="7">
        <f>$B2 * IFERROR(VLOOKUP("industry|SO2|Premature mortality", US_national_yearly!$D:$AM, 34, FALSE) / VLOOKUP("industry|SO2|Premature mortality", US_national_yearly!$D:$AM, 10, FALSE), 1)</f>
        <v>3.8815853937916329E-3</v>
      </c>
      <c r="AA2" s="7">
        <f>$B2 * IFERROR(VLOOKUP("industry|SO2|Premature mortality", US_national_yearly!$D:$AM, 35, FALSE) / VLOOKUP("industry|SO2|Premature mortality", US_national_yearly!$D:$AM, 10, FALSE), 1)</f>
        <v>3.8860375284022891E-3</v>
      </c>
      <c r="AB2" s="7">
        <f>$B2 * IFERROR(VLOOKUP("industry|SO2|Premature mortality", US_national_yearly!$D:$AM, 36, FALSE) / VLOOKUP("industry|SO2|Premature mortality", US_national_yearly!$D:$AM, 10, FALSE), 1)</f>
        <v>3.8904896630129449E-3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8.78049318869772E-6</v>
      </c>
      <c r="C3" s="7">
        <f>$B3 * IFERROR(VLOOKUP("industry|SO2|Infant mortality", US_national_yearly!$D:$AM, 11, FALSE) / VLOOKUP("industry|SO2|Infant mortality", US_national_yearly!$D:$AM, 10, FALSE), 1)</f>
        <v>8.70495392867217E-6</v>
      </c>
      <c r="D3" s="7">
        <f>$B3 * IFERROR(VLOOKUP("industry|SO2|Infant mortality", US_national_yearly!$D:$AM, 12, FALSE) / VLOOKUP("industry|SO2|Infant mortality", US_national_yearly!$D:$AM, 10, FALSE), 1)</f>
        <v>8.6294146686466217E-6</v>
      </c>
      <c r="E3" s="7">
        <f>$B3 * IFERROR(VLOOKUP("industry|SO2|Infant mortality", US_national_yearly!$D:$AM, 13, FALSE) / VLOOKUP("industry|SO2|Infant mortality", US_national_yearly!$D:$AM, 10, FALSE), 1)</f>
        <v>8.5538754086210718E-6</v>
      </c>
      <c r="F3" s="7">
        <f>$B3 * IFERROR(VLOOKUP("industry|SO2|Infant mortality", US_national_yearly!$D:$AM, 14, FALSE) / VLOOKUP("industry|SO2|Infant mortality", US_national_yearly!$D:$AM, 10, FALSE), 1)</f>
        <v>8.4783361485955235E-6</v>
      </c>
      <c r="G3" s="7">
        <f>$B3 * IFERROR(VLOOKUP("industry|SO2|Infant mortality", US_national_yearly!$D:$AM, 15, FALSE) / VLOOKUP("industry|SO2|Infant mortality", US_national_yearly!$D:$AM, 10, FALSE), 1)</f>
        <v>5.6440143532180707E-6</v>
      </c>
      <c r="H3" s="7">
        <f>$B3 * IFERROR(VLOOKUP("industry|SO2|Infant mortality", US_national_yearly!$D:$AM, 16, FALSE) / VLOOKUP("industry|SO2|Infant mortality", US_national_yearly!$D:$AM, 10, FALSE), 1)</f>
        <v>2.8096925578406179E-6</v>
      </c>
      <c r="I3" s="7">
        <f>$B3 * IFERROR(VLOOKUP("industry|SO2|Infant mortality", US_national_yearly!$D:$AM, 17, FALSE) / VLOOKUP("industry|SO2|Infant mortality", US_national_yearly!$D:$AM, 10, FALSE), 1)</f>
        <v>2.7918512497390659E-6</v>
      </c>
      <c r="J3" s="7">
        <f>$B3 * IFERROR(VLOOKUP("industry|SO2|Infant mortality", US_national_yearly!$D:$AM, 18, FALSE) / VLOOKUP("industry|SO2|Infant mortality", US_national_yearly!$D:$AM, 10, FALSE), 1)</f>
        <v>2.7740099416375138E-6</v>
      </c>
      <c r="K3" s="7">
        <f>$B3 * IFERROR(VLOOKUP("industry|SO2|Infant mortality", US_national_yearly!$D:$AM, 19, FALSE) / VLOOKUP("industry|SO2|Infant mortality", US_national_yearly!$D:$AM, 10, FALSE), 1)</f>
        <v>2.7561686335359614E-6</v>
      </c>
      <c r="L3" s="7">
        <f>$B3 * IFERROR(VLOOKUP("industry|SO2|Infant mortality", US_national_yearly!$D:$AM, 20, FALSE) / VLOOKUP("industry|SO2|Infant mortality", US_national_yearly!$D:$AM, 10, FALSE), 1)</f>
        <v>2.7383273254344093E-6</v>
      </c>
      <c r="M3" s="7">
        <f>$B3 * IFERROR(VLOOKUP("industry|SO2|Infant mortality", US_national_yearly!$D:$AM, 21, FALSE) / VLOOKUP("industry|SO2|Infant mortality", US_national_yearly!$D:$AM, 10, FALSE), 1)</f>
        <v>2.7204860173328573E-6</v>
      </c>
      <c r="N3" s="7">
        <f>$B3 * IFERROR(VLOOKUP("industry|SO2|Infant mortality", US_national_yearly!$D:$AM, 22, FALSE) / VLOOKUP("industry|SO2|Infant mortality", US_national_yearly!$D:$AM, 10, FALSE), 1)</f>
        <v>2.7091781124405614E-6</v>
      </c>
      <c r="O3" s="7">
        <f>$B3 * IFERROR(VLOOKUP("industry|SO2|Infant mortality", US_national_yearly!$D:$AM, 23, FALSE) / VLOOKUP("industry|SO2|Infant mortality", US_national_yearly!$D:$AM, 10, FALSE), 1)</f>
        <v>2.6978702075482659E-6</v>
      </c>
      <c r="P3" s="7">
        <f>$B3 * IFERROR(VLOOKUP("industry|SO2|Infant mortality", US_national_yearly!$D:$AM, 24, FALSE) / VLOOKUP("industry|SO2|Infant mortality", US_national_yearly!$D:$AM, 10, FALSE), 1)</f>
        <v>2.6865623026559703E-6</v>
      </c>
      <c r="Q3" s="7">
        <f>$B3 * IFERROR(VLOOKUP("industry|SO2|Infant mortality", US_national_yearly!$D:$AM, 25, FALSE) / VLOOKUP("industry|SO2|Infant mortality", US_national_yearly!$D:$AM, 10, FALSE), 1)</f>
        <v>2.6752543977636744E-6</v>
      </c>
      <c r="R3" s="7">
        <f>$B3 * IFERROR(VLOOKUP("industry|SO2|Infant mortality", US_national_yearly!$D:$AM, 26, FALSE) / VLOOKUP("industry|SO2|Infant mortality", US_national_yearly!$D:$AM, 10, FALSE), 1)</f>
        <v>2.6639464928713789E-6</v>
      </c>
      <c r="S3" s="7">
        <f>$B3 * IFERROR(VLOOKUP("industry|SO2|Infant mortality", US_national_yearly!$D:$AM, 27, FALSE) / VLOOKUP("industry|SO2|Infant mortality", US_national_yearly!$D:$AM, 10, FALSE), 1)</f>
        <v>2.6498739342299241E-6</v>
      </c>
      <c r="T3" s="7">
        <f>$B3 * IFERROR(VLOOKUP("industry|SO2|Infant mortality", US_national_yearly!$D:$AM, 28, FALSE) / VLOOKUP("industry|SO2|Infant mortality", US_national_yearly!$D:$AM, 10, FALSE), 1)</f>
        <v>2.6358013755884696E-6</v>
      </c>
      <c r="U3" s="7">
        <f>$B3 * IFERROR(VLOOKUP("industry|SO2|Infant mortality", US_national_yearly!$D:$AM, 29, FALSE) / VLOOKUP("industry|SO2|Infant mortality", US_national_yearly!$D:$AM, 10, FALSE), 1)</f>
        <v>2.6217288169470148E-6</v>
      </c>
      <c r="V3" s="7">
        <f>$B3 * IFERROR(VLOOKUP("industry|SO2|Infant mortality", US_national_yearly!$D:$AM, 30, FALSE) / VLOOKUP("industry|SO2|Infant mortality", US_national_yearly!$D:$AM, 10, FALSE), 1)</f>
        <v>2.6076562583055603E-6</v>
      </c>
      <c r="W3" s="7">
        <f>$B3 * IFERROR(VLOOKUP("industry|SO2|Infant mortality", US_national_yearly!$D:$AM, 31, FALSE) / VLOOKUP("industry|SO2|Infant mortality", US_national_yearly!$D:$AM, 10, FALSE), 1)</f>
        <v>2.5935836996641055E-6</v>
      </c>
      <c r="X3" s="7">
        <f>$B3 * IFERROR(VLOOKUP("industry|SO2|Infant mortality", US_national_yearly!$D:$AM, 32, FALSE) / VLOOKUP("industry|SO2|Infant mortality", US_national_yearly!$D:$AM, 10, FALSE), 1)</f>
        <v>2.5782910279691634E-6</v>
      </c>
      <c r="Y3" s="7">
        <f>$B3 * IFERROR(VLOOKUP("industry|SO2|Infant mortality", US_national_yearly!$D:$AM, 33, FALSE) / VLOOKUP("industry|SO2|Infant mortality", US_national_yearly!$D:$AM, 10, FALSE), 1)</f>
        <v>2.5629983562742208E-6</v>
      </c>
      <c r="Z3" s="7">
        <f>$B3 * IFERROR(VLOOKUP("industry|SO2|Infant mortality", US_national_yearly!$D:$AM, 34, FALSE) / VLOOKUP("industry|SO2|Infant mortality", US_national_yearly!$D:$AM, 10, FALSE), 1)</f>
        <v>2.5477056845792783E-6</v>
      </c>
      <c r="AA3" s="7">
        <f>$B3 * IFERROR(VLOOKUP("industry|SO2|Infant mortality", US_national_yearly!$D:$AM, 35, FALSE) / VLOOKUP("industry|SO2|Infant mortality", US_national_yearly!$D:$AM, 10, FALSE), 1)</f>
        <v>2.5324130128843361E-6</v>
      </c>
      <c r="AB3" s="7">
        <f>$B3 * IFERROR(VLOOKUP("industry|SO2|Infant mortality", US_national_yearly!$D:$AM, 36, FALSE) / VLOOKUP("industry|SO2|Infant mortality", US_national_yearly!$D:$AM, 10, FALSE), 1)</f>
        <v>2.5171203411893936E-6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7.4858572017798327E-3</v>
      </c>
      <c r="C6" s="7">
        <f>$B6 * IFERROR(VLOOKUP("industry|SO2|Asthma symptoms cough", US_national_yearly!$D:$AM, 11, FALSE) / VLOOKUP("industry|SO2|Asthma symptoms cough", US_national_yearly!$D:$AM, 10, FALSE), 1)</f>
        <v>7.4858572017798327E-3</v>
      </c>
      <c r="D6" s="7">
        <f>$B6 * IFERROR(VLOOKUP("industry|SO2|Asthma symptoms cough", US_national_yearly!$D:$AM, 12, FALSE) / VLOOKUP("industry|SO2|Asthma symptoms cough", US_national_yearly!$D:$AM, 10, FALSE), 1)</f>
        <v>7.4858572017798327E-3</v>
      </c>
      <c r="E6" s="7">
        <f>$B6 * IFERROR(VLOOKUP("industry|SO2|Asthma symptoms cough", US_national_yearly!$D:$AM, 13, FALSE) / VLOOKUP("industry|SO2|Asthma symptoms cough", US_national_yearly!$D:$AM, 10, FALSE), 1)</f>
        <v>7.4858572017798327E-3</v>
      </c>
      <c r="F6" s="7">
        <f>$B6 * IFERROR(VLOOKUP("industry|SO2|Asthma symptoms cough", US_national_yearly!$D:$AM, 14, FALSE) / VLOOKUP("industry|SO2|Asthma symptoms cough", US_national_yearly!$D:$AM, 10, FALSE), 1)</f>
        <v>7.4858572017798327E-3</v>
      </c>
      <c r="G6" s="7">
        <f>$B6 * IFERROR(VLOOKUP("industry|SO2|Asthma symptoms cough", US_national_yearly!$D:$AM, 15, FALSE) / VLOOKUP("industry|SO2|Asthma symptoms cough", US_national_yearly!$D:$AM, 10, FALSE), 1)</f>
        <v>7.4858572017798327E-3</v>
      </c>
      <c r="H6" s="7">
        <f>$B6 * IFERROR(VLOOKUP("industry|SO2|Asthma symptoms cough", US_national_yearly!$D:$AM, 16, FALSE) / VLOOKUP("industry|SO2|Asthma symptoms cough", US_national_yearly!$D:$AM, 10, FALSE), 1)</f>
        <v>7.4858572017798327E-3</v>
      </c>
      <c r="I6" s="7">
        <f>$B6 * IFERROR(VLOOKUP("industry|SO2|Asthma symptoms cough", US_national_yearly!$D:$AM, 17, FALSE) / VLOOKUP("industry|SO2|Asthma symptoms cough", US_national_yearly!$D:$AM, 10, FALSE), 1)</f>
        <v>7.4858572017798327E-3</v>
      </c>
      <c r="J6" s="7">
        <f>$B6 * IFERROR(VLOOKUP("industry|SO2|Asthma symptoms cough", US_national_yearly!$D:$AM, 18, FALSE) / VLOOKUP("industry|SO2|Asthma symptoms cough", US_national_yearly!$D:$AM, 10, FALSE), 1)</f>
        <v>7.4858572017798327E-3</v>
      </c>
      <c r="K6" s="7">
        <f>$B6 * IFERROR(VLOOKUP("industry|SO2|Asthma symptoms cough", US_national_yearly!$D:$AM, 19, FALSE) / VLOOKUP("industry|SO2|Asthma symptoms cough", US_national_yearly!$D:$AM, 10, FALSE), 1)</f>
        <v>7.4858572017798327E-3</v>
      </c>
      <c r="L6" s="7">
        <f>$B6 * IFERROR(VLOOKUP("industry|SO2|Asthma symptoms cough", US_national_yearly!$D:$AM, 20, FALSE) / VLOOKUP("industry|SO2|Asthma symptoms cough", US_national_yearly!$D:$AM, 10, FALSE), 1)</f>
        <v>7.4858572017798327E-3</v>
      </c>
      <c r="M6" s="7">
        <f>$B6 * IFERROR(VLOOKUP("industry|SO2|Asthma symptoms cough", US_national_yearly!$D:$AM, 21, FALSE) / VLOOKUP("industry|SO2|Asthma symptoms cough", US_national_yearly!$D:$AM, 10, FALSE), 1)</f>
        <v>7.4858572017798327E-3</v>
      </c>
      <c r="N6" s="7">
        <f>$B6 * IFERROR(VLOOKUP("industry|SO2|Asthma symptoms cough", US_national_yearly!$D:$AM, 22, FALSE) / VLOOKUP("industry|SO2|Asthma symptoms cough", US_national_yearly!$D:$AM, 10, FALSE), 1)</f>
        <v>7.4858572017798327E-3</v>
      </c>
      <c r="O6" s="7">
        <f>$B6 * IFERROR(VLOOKUP("industry|SO2|Asthma symptoms cough", US_national_yearly!$D:$AM, 23, FALSE) / VLOOKUP("industry|SO2|Asthma symptoms cough", US_national_yearly!$D:$AM, 10, FALSE), 1)</f>
        <v>7.4858572017798327E-3</v>
      </c>
      <c r="P6" s="7">
        <f>$B6 * IFERROR(VLOOKUP("industry|SO2|Asthma symptoms cough", US_national_yearly!$D:$AM, 24, FALSE) / VLOOKUP("industry|SO2|Asthma symptoms cough", US_national_yearly!$D:$AM, 10, FALSE), 1)</f>
        <v>7.4858572017798327E-3</v>
      </c>
      <c r="Q6" s="7">
        <f>$B6 * IFERROR(VLOOKUP("industry|SO2|Asthma symptoms cough", US_national_yearly!$D:$AM, 25, FALSE) / VLOOKUP("industry|SO2|Asthma symptoms cough", US_national_yearly!$D:$AM, 10, FALSE), 1)</f>
        <v>7.4858572017798327E-3</v>
      </c>
      <c r="R6" s="7">
        <f>$B6 * IFERROR(VLOOKUP("industry|SO2|Asthma symptoms cough", US_national_yearly!$D:$AM, 26, FALSE) / VLOOKUP("industry|SO2|Asthma symptoms cough", US_national_yearly!$D:$AM, 10, FALSE), 1)</f>
        <v>7.4858572017798327E-3</v>
      </c>
      <c r="S6" s="7">
        <f>$B6 * IFERROR(VLOOKUP("industry|SO2|Asthma symptoms cough", US_national_yearly!$D:$AM, 27, FALSE) / VLOOKUP("industry|SO2|Asthma symptoms cough", US_national_yearly!$D:$AM, 10, FALSE), 1)</f>
        <v>7.4858572017798327E-3</v>
      </c>
      <c r="T6" s="7">
        <f>$B6 * IFERROR(VLOOKUP("industry|SO2|Asthma symptoms cough", US_national_yearly!$D:$AM, 28, FALSE) / VLOOKUP("industry|SO2|Asthma symptoms cough", US_national_yearly!$D:$AM, 10, FALSE), 1)</f>
        <v>7.4858572017798327E-3</v>
      </c>
      <c r="U6" s="7">
        <f>$B6 * IFERROR(VLOOKUP("industry|SO2|Asthma symptoms cough", US_national_yearly!$D:$AM, 29, FALSE) / VLOOKUP("industry|SO2|Asthma symptoms cough", US_national_yearly!$D:$AM, 10, FALSE), 1)</f>
        <v>7.4858572017798327E-3</v>
      </c>
      <c r="V6" s="7">
        <f>$B6 * IFERROR(VLOOKUP("industry|SO2|Asthma symptoms cough", US_national_yearly!$D:$AM, 30, FALSE) / VLOOKUP("industry|SO2|Asthma symptoms cough", US_national_yearly!$D:$AM, 10, FALSE), 1)</f>
        <v>7.4858572017798327E-3</v>
      </c>
      <c r="W6" s="7">
        <f>$B6 * IFERROR(VLOOKUP("industry|SO2|Asthma symptoms cough", US_national_yearly!$D:$AM, 31, FALSE) / VLOOKUP("industry|SO2|Asthma symptoms cough", US_national_yearly!$D:$AM, 10, FALSE), 1)</f>
        <v>7.4858572017798327E-3</v>
      </c>
      <c r="X6" s="7">
        <f>$B6 * IFERROR(VLOOKUP("industry|SO2|Asthma symptoms cough", US_national_yearly!$D:$AM, 32, FALSE) / VLOOKUP("industry|SO2|Asthma symptoms cough", US_national_yearly!$D:$AM, 10, FALSE), 1)</f>
        <v>7.4858572017798327E-3</v>
      </c>
      <c r="Y6" s="7">
        <f>$B6 * IFERROR(VLOOKUP("industry|SO2|Asthma symptoms cough", US_national_yearly!$D:$AM, 33, FALSE) / VLOOKUP("industry|SO2|Asthma symptoms cough", US_national_yearly!$D:$AM, 10, FALSE), 1)</f>
        <v>7.4858572017798327E-3</v>
      </c>
      <c r="Z6" s="7">
        <f>$B6 * IFERROR(VLOOKUP("industry|SO2|Asthma symptoms cough", US_national_yearly!$D:$AM, 34, FALSE) / VLOOKUP("industry|SO2|Asthma symptoms cough", US_national_yearly!$D:$AM, 10, FALSE), 1)</f>
        <v>7.4858572017798327E-3</v>
      </c>
      <c r="AA6" s="7">
        <f>$B6 * IFERROR(VLOOKUP("industry|SO2|Asthma symptoms cough", US_national_yearly!$D:$AM, 35, FALSE) / VLOOKUP("industry|SO2|Asthma symptoms cough", US_national_yearly!$D:$AM, 10, FALSE), 1)</f>
        <v>7.4858572017798327E-3</v>
      </c>
      <c r="AB6" s="7">
        <f>$B6 * IFERROR(VLOOKUP("industry|SO2|Asthma symptoms cough", US_national_yearly!$D:$AM, 36, FALSE) / VLOOKUP("industry|SO2|Asthma symptoms cough", US_national_yearly!$D:$AM, 10, FALSE), 1)</f>
        <v>7.4858572017798327E-3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1.0080753123701137E-2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1.0080753123701137E-2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1.0080753123701137E-2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1.0080753123701137E-2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1.0080753123701137E-2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1.0080753123701137E-2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1.0080753123701137E-2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1.0080753123701137E-2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1.0080753123701137E-2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1.0080753123701137E-2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1.0080753123701137E-2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1.0080753123701137E-2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1.0080753123701137E-2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1.0080753123701137E-2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1.0080753123701137E-2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1.0080753123701137E-2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1.0080753123701137E-2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1.0080753123701137E-2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1.0080753123701137E-2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1.0080753123701137E-2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1.0080753123701137E-2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1.0080753123701137E-2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1.0080753123701137E-2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1.0080753123701137E-2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1.0080753123701137E-2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1.0080753123701137E-2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1.0080753123701137E-2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1.5401824392141475E-2</v>
      </c>
      <c r="C8" s="7">
        <f>$B8 * IFERROR(VLOOKUP("industry|SO2|Asthma symptoms wheeze", US_national_yearly!$D:$AM, 11, FALSE) / VLOOKUP("industry|SO2|Asthma symptoms wheeze", US_national_yearly!$D:$AM, 10, FALSE), 1)</f>
        <v>1.5401824392141475E-2</v>
      </c>
      <c r="D8" s="7">
        <f>$B8 * IFERROR(VLOOKUP("industry|SO2|Asthma symptoms wheeze", US_national_yearly!$D:$AM, 12, FALSE) / VLOOKUP("industry|SO2|Asthma symptoms wheeze", US_national_yearly!$D:$AM, 10, FALSE), 1)</f>
        <v>1.5401824392141475E-2</v>
      </c>
      <c r="E8" s="7">
        <f>$B8 * IFERROR(VLOOKUP("industry|SO2|Asthma symptoms wheeze", US_national_yearly!$D:$AM, 13, FALSE) / VLOOKUP("industry|SO2|Asthma symptoms wheeze", US_national_yearly!$D:$AM, 10, FALSE), 1)</f>
        <v>1.5401824392141475E-2</v>
      </c>
      <c r="F8" s="7">
        <f>$B8 * IFERROR(VLOOKUP("industry|SO2|Asthma symptoms wheeze", US_national_yearly!$D:$AM, 14, FALSE) / VLOOKUP("industry|SO2|Asthma symptoms wheeze", US_national_yearly!$D:$AM, 10, FALSE), 1)</f>
        <v>1.5401824392141475E-2</v>
      </c>
      <c r="G8" s="7">
        <f>$B8 * IFERROR(VLOOKUP("industry|SO2|Asthma symptoms wheeze", US_national_yearly!$D:$AM, 15, FALSE) / VLOOKUP("industry|SO2|Asthma symptoms wheeze", US_national_yearly!$D:$AM, 10, FALSE), 1)</f>
        <v>1.5401824392141475E-2</v>
      </c>
      <c r="H8" s="7">
        <f>$B8 * IFERROR(VLOOKUP("industry|SO2|Asthma symptoms wheeze", US_national_yearly!$D:$AM, 16, FALSE) / VLOOKUP("industry|SO2|Asthma symptoms wheeze", US_national_yearly!$D:$AM, 10, FALSE), 1)</f>
        <v>1.5401824392141475E-2</v>
      </c>
      <c r="I8" s="7">
        <f>$B8 * IFERROR(VLOOKUP("industry|SO2|Asthma symptoms wheeze", US_national_yearly!$D:$AM, 17, FALSE) / VLOOKUP("industry|SO2|Asthma symptoms wheeze", US_national_yearly!$D:$AM, 10, FALSE), 1)</f>
        <v>1.5401824392141475E-2</v>
      </c>
      <c r="J8" s="7">
        <f>$B8 * IFERROR(VLOOKUP("industry|SO2|Asthma symptoms wheeze", US_national_yearly!$D:$AM, 18, FALSE) / VLOOKUP("industry|SO2|Asthma symptoms wheeze", US_national_yearly!$D:$AM, 10, FALSE), 1)</f>
        <v>1.5401824392141475E-2</v>
      </c>
      <c r="K8" s="7">
        <f>$B8 * IFERROR(VLOOKUP("industry|SO2|Asthma symptoms wheeze", US_national_yearly!$D:$AM, 19, FALSE) / VLOOKUP("industry|SO2|Asthma symptoms wheeze", US_national_yearly!$D:$AM, 10, FALSE), 1)</f>
        <v>1.5401824392141475E-2</v>
      </c>
      <c r="L8" s="7">
        <f>$B8 * IFERROR(VLOOKUP("industry|SO2|Asthma symptoms wheeze", US_national_yearly!$D:$AM, 20, FALSE) / VLOOKUP("industry|SO2|Asthma symptoms wheeze", US_national_yearly!$D:$AM, 10, FALSE), 1)</f>
        <v>1.5401824392141475E-2</v>
      </c>
      <c r="M8" s="7">
        <f>$B8 * IFERROR(VLOOKUP("industry|SO2|Asthma symptoms wheeze", US_national_yearly!$D:$AM, 21, FALSE) / VLOOKUP("industry|SO2|Asthma symptoms wheeze", US_national_yearly!$D:$AM, 10, FALSE), 1)</f>
        <v>1.5401824392141475E-2</v>
      </c>
      <c r="N8" s="7">
        <f>$B8 * IFERROR(VLOOKUP("industry|SO2|Asthma symptoms wheeze", US_national_yearly!$D:$AM, 22, FALSE) / VLOOKUP("industry|SO2|Asthma symptoms wheeze", US_national_yearly!$D:$AM, 10, FALSE), 1)</f>
        <v>1.5401824392141475E-2</v>
      </c>
      <c r="O8" s="7">
        <f>$B8 * IFERROR(VLOOKUP("industry|SO2|Asthma symptoms wheeze", US_national_yearly!$D:$AM, 23, FALSE) / VLOOKUP("industry|SO2|Asthma symptoms wheeze", US_national_yearly!$D:$AM, 10, FALSE), 1)</f>
        <v>1.5401824392141475E-2</v>
      </c>
      <c r="P8" s="7">
        <f>$B8 * IFERROR(VLOOKUP("industry|SO2|Asthma symptoms wheeze", US_national_yearly!$D:$AM, 24, FALSE) / VLOOKUP("industry|SO2|Asthma symptoms wheeze", US_national_yearly!$D:$AM, 10, FALSE), 1)</f>
        <v>1.5401824392141475E-2</v>
      </c>
      <c r="Q8" s="7">
        <f>$B8 * IFERROR(VLOOKUP("industry|SO2|Asthma symptoms wheeze", US_national_yearly!$D:$AM, 25, FALSE) / VLOOKUP("industry|SO2|Asthma symptoms wheeze", US_national_yearly!$D:$AM, 10, FALSE), 1)</f>
        <v>1.5401824392141475E-2</v>
      </c>
      <c r="R8" s="7">
        <f>$B8 * IFERROR(VLOOKUP("industry|SO2|Asthma symptoms wheeze", US_national_yearly!$D:$AM, 26, FALSE) / VLOOKUP("industry|SO2|Asthma symptoms wheeze", US_national_yearly!$D:$AM, 10, FALSE), 1)</f>
        <v>1.5401824392141475E-2</v>
      </c>
      <c r="S8" s="7">
        <f>$B8 * IFERROR(VLOOKUP("industry|SO2|Asthma symptoms wheeze", US_national_yearly!$D:$AM, 27, FALSE) / VLOOKUP("industry|SO2|Asthma symptoms wheeze", US_national_yearly!$D:$AM, 10, FALSE), 1)</f>
        <v>1.5401824392141475E-2</v>
      </c>
      <c r="T8" s="7">
        <f>$B8 * IFERROR(VLOOKUP("industry|SO2|Asthma symptoms wheeze", US_national_yearly!$D:$AM, 28, FALSE) / VLOOKUP("industry|SO2|Asthma symptoms wheeze", US_national_yearly!$D:$AM, 10, FALSE), 1)</f>
        <v>1.5401824392141475E-2</v>
      </c>
      <c r="U8" s="7">
        <f>$B8 * IFERROR(VLOOKUP("industry|SO2|Asthma symptoms wheeze", US_national_yearly!$D:$AM, 29, FALSE) / VLOOKUP("industry|SO2|Asthma symptoms wheeze", US_national_yearly!$D:$AM, 10, FALSE), 1)</f>
        <v>1.5401824392141475E-2</v>
      </c>
      <c r="V8" s="7">
        <f>$B8 * IFERROR(VLOOKUP("industry|SO2|Asthma symptoms wheeze", US_national_yearly!$D:$AM, 30, FALSE) / VLOOKUP("industry|SO2|Asthma symptoms wheeze", US_national_yearly!$D:$AM, 10, FALSE), 1)</f>
        <v>1.5401824392141475E-2</v>
      </c>
      <c r="W8" s="7">
        <f>$B8 * IFERROR(VLOOKUP("industry|SO2|Asthma symptoms wheeze", US_national_yearly!$D:$AM, 31, FALSE) / VLOOKUP("industry|SO2|Asthma symptoms wheeze", US_national_yearly!$D:$AM, 10, FALSE), 1)</f>
        <v>1.5401824392141475E-2</v>
      </c>
      <c r="X8" s="7">
        <f>$B8 * IFERROR(VLOOKUP("industry|SO2|Asthma symptoms wheeze", US_national_yearly!$D:$AM, 32, FALSE) / VLOOKUP("industry|SO2|Asthma symptoms wheeze", US_national_yearly!$D:$AM, 10, FALSE), 1)</f>
        <v>1.5401824392141475E-2</v>
      </c>
      <c r="Y8" s="7">
        <f>$B8 * IFERROR(VLOOKUP("industry|SO2|Asthma symptoms wheeze", US_national_yearly!$D:$AM, 33, FALSE) / VLOOKUP("industry|SO2|Asthma symptoms wheeze", US_national_yearly!$D:$AM, 10, FALSE), 1)</f>
        <v>1.5401824392141475E-2</v>
      </c>
      <c r="Z8" s="7">
        <f>$B8 * IFERROR(VLOOKUP("industry|SO2|Asthma symptoms wheeze", US_national_yearly!$D:$AM, 34, FALSE) / VLOOKUP("industry|SO2|Asthma symptoms wheeze", US_national_yearly!$D:$AM, 10, FALSE), 1)</f>
        <v>1.5401824392141475E-2</v>
      </c>
      <c r="AA8" s="7">
        <f>$B8 * IFERROR(VLOOKUP("industry|SO2|Asthma symptoms wheeze", US_national_yearly!$D:$AM, 35, FALSE) / VLOOKUP("industry|SO2|Asthma symptoms wheeze", US_national_yearly!$D:$AM, 10, FALSE), 1)</f>
        <v>1.5401824392141475E-2</v>
      </c>
      <c r="AB8" s="7">
        <f>$B8 * IFERROR(VLOOKUP("industry|SO2|Asthma symptoms wheeze", US_national_yearly!$D:$AM, 36, FALSE) / VLOOKUP("industry|SO2|Asthma symptoms wheeze", US_national_yearly!$D:$AM, 10, FALSE), 1)</f>
        <v>1.5401824392141475E-2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2.0242549709731985E-4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2.0361132406959451E-4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2.0479715104186917E-4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2.059829780141438E-4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2.0716880498641851E-4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2.0846158577515368E-4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2.0975436656388887E-4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2.110240892771427E-4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2.1229381199039653E-4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2.1356353470365031E-4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2.1483325741690414E-4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2.1610298013015797E-4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2.1702176935698127E-4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2.1794055858380455E-4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2.1885934781062778E-4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2.1977813703745108E-4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2.2069692626427431E-4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2.2157009498052267E-4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2.22443263696771E-4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2.2331643241301931E-4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2.2418960112926767E-4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2.2506276984551597E-4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2.2589194397510748E-4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2.2672111810469902E-4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2.2755029223429053E-4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2.2837946636388205E-4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2.2920864049347358E-4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1.2748068033400736E-3</v>
      </c>
      <c r="C13" s="7">
        <f>$B13 * IFERROR(VLOOKUP("industry|SO2|Non-fatal heart attacks", US_national_yearly!$D:$AM, 11, FALSE) / VLOOKUP("industry|SO2|Non-fatal heart attacks", US_national_yearly!$D:$AM, 10, FALSE), 1)</f>
        <v>1.312230350642796E-3</v>
      </c>
      <c r="D13" s="7">
        <f>$B13 * IFERROR(VLOOKUP("industry|SO2|Non-fatal heart attacks", US_national_yearly!$D:$AM, 12, FALSE) / VLOOKUP("industry|SO2|Non-fatal heart attacks", US_national_yearly!$D:$AM, 10, FALSE), 1)</f>
        <v>1.3496538979455182E-3</v>
      </c>
      <c r="E13" s="7">
        <f>$B13 * IFERROR(VLOOKUP("industry|SO2|Non-fatal heart attacks", US_national_yearly!$D:$AM, 13, FALSE) / VLOOKUP("industry|SO2|Non-fatal heart attacks", US_national_yearly!$D:$AM, 10, FALSE), 1)</f>
        <v>1.3870774452482404E-3</v>
      </c>
      <c r="F13" s="7">
        <f>$B13 * IFERROR(VLOOKUP("industry|SO2|Non-fatal heart attacks", US_national_yearly!$D:$AM, 14, FALSE) / VLOOKUP("industry|SO2|Non-fatal heart attacks", US_national_yearly!$D:$AM, 10, FALSE), 1)</f>
        <v>1.4245009925509631E-3</v>
      </c>
      <c r="G13" s="7">
        <f>$B13 * IFERROR(VLOOKUP("industry|SO2|Non-fatal heart attacks", US_national_yearly!$D:$AM, 15, FALSE) / VLOOKUP("industry|SO2|Non-fatal heart attacks", US_national_yearly!$D:$AM, 10, FALSE), 1)</f>
        <v>1.4598183374432147E-3</v>
      </c>
      <c r="H13" s="7">
        <f>$B13 * IFERROR(VLOOKUP("industry|SO2|Non-fatal heart attacks", US_national_yearly!$D:$AM, 16, FALSE) / VLOOKUP("industry|SO2|Non-fatal heart attacks", US_national_yearly!$D:$AM, 10, FALSE), 1)</f>
        <v>1.4951356823354669E-3</v>
      </c>
      <c r="I13" s="7">
        <f>$B13 * IFERROR(VLOOKUP("industry|SO2|Non-fatal heart attacks", US_national_yearly!$D:$AM, 17, FALSE) / VLOOKUP("industry|SO2|Non-fatal heart attacks", US_national_yearly!$D:$AM, 10, FALSE), 1)</f>
        <v>1.5236075755407817E-3</v>
      </c>
      <c r="J13" s="7">
        <f>$B13 * IFERROR(VLOOKUP("industry|SO2|Non-fatal heart attacks", US_national_yearly!$D:$AM, 18, FALSE) / VLOOKUP("industry|SO2|Non-fatal heart attacks", US_national_yearly!$D:$AM, 10, FALSE), 1)</f>
        <v>1.5520794687460969E-3</v>
      </c>
      <c r="K13" s="7">
        <f>$B13 * IFERROR(VLOOKUP("industry|SO2|Non-fatal heart attacks", US_national_yearly!$D:$AM, 19, FALSE) / VLOOKUP("industry|SO2|Non-fatal heart attacks", US_national_yearly!$D:$AM, 10, FALSE), 1)</f>
        <v>1.5805513619514121E-3</v>
      </c>
      <c r="L13" s="7">
        <f>$B13 * IFERROR(VLOOKUP("industry|SO2|Non-fatal heart attacks", US_national_yearly!$D:$AM, 20, FALSE) / VLOOKUP("industry|SO2|Non-fatal heart attacks", US_national_yearly!$D:$AM, 10, FALSE), 1)</f>
        <v>1.6090232551567271E-3</v>
      </c>
      <c r="M13" s="7">
        <f>$B13 * IFERROR(VLOOKUP("industry|SO2|Non-fatal heart attacks", US_national_yearly!$D:$AM, 21, FALSE) / VLOOKUP("industry|SO2|Non-fatal heart attacks", US_national_yearly!$D:$AM, 10, FALSE), 1)</f>
        <v>1.6374951483620421E-3</v>
      </c>
      <c r="N13" s="7">
        <f>$B13 * IFERROR(VLOOKUP("industry|SO2|Non-fatal heart attacks", US_national_yearly!$D:$AM, 22, FALSE) / VLOOKUP("industry|SO2|Non-fatal heart attacks", US_national_yearly!$D:$AM, 10, FALSE), 1)</f>
        <v>1.6559920070545056E-3</v>
      </c>
      <c r="O13" s="7">
        <f>$B13 * IFERROR(VLOOKUP("industry|SO2|Non-fatal heart attacks", US_national_yearly!$D:$AM, 23, FALSE) / VLOOKUP("industry|SO2|Non-fatal heart attacks", US_national_yearly!$D:$AM, 10, FALSE), 1)</f>
        <v>1.6744888657469698E-3</v>
      </c>
      <c r="P13" s="7">
        <f>$B13 * IFERROR(VLOOKUP("industry|SO2|Non-fatal heart attacks", US_national_yearly!$D:$AM, 24, FALSE) / VLOOKUP("industry|SO2|Non-fatal heart attacks", US_national_yearly!$D:$AM, 10, FALSE), 1)</f>
        <v>1.6929857244394333E-3</v>
      </c>
      <c r="Q13" s="7">
        <f>$B13 * IFERROR(VLOOKUP("industry|SO2|Non-fatal heart attacks", US_national_yearly!$D:$AM, 25, FALSE) / VLOOKUP("industry|SO2|Non-fatal heart attacks", US_national_yearly!$D:$AM, 10, FALSE), 1)</f>
        <v>1.7114825831318968E-3</v>
      </c>
      <c r="R13" s="7">
        <f>$B13 * IFERROR(VLOOKUP("industry|SO2|Non-fatal heart attacks", US_national_yearly!$D:$AM, 26, FALSE) / VLOOKUP("industry|SO2|Non-fatal heart attacks", US_national_yearly!$D:$AM, 10, FALSE), 1)</f>
        <v>1.7299794418243605E-3</v>
      </c>
      <c r="S13" s="7">
        <f>$B13 * IFERROR(VLOOKUP("industry|SO2|Non-fatal heart attacks", US_national_yearly!$D:$AM, 27, FALSE) / VLOOKUP("industry|SO2|Non-fatal heart attacks", US_national_yearly!$D:$AM, 10, FALSE), 1)</f>
        <v>1.7396942639683536E-3</v>
      </c>
      <c r="T13" s="7">
        <f>$B13 * IFERROR(VLOOKUP("industry|SO2|Non-fatal heart attacks", US_national_yearly!$D:$AM, 28, FALSE) / VLOOKUP("industry|SO2|Non-fatal heart attacks", US_national_yearly!$D:$AM, 10, FALSE), 1)</f>
        <v>1.7494090861123468E-3</v>
      </c>
      <c r="U13" s="7">
        <f>$B13 * IFERROR(VLOOKUP("industry|SO2|Non-fatal heart attacks", US_national_yearly!$D:$AM, 29, FALSE) / VLOOKUP("industry|SO2|Non-fatal heart attacks", US_national_yearly!$D:$AM, 10, FALSE), 1)</f>
        <v>1.75912390825634E-3</v>
      </c>
      <c r="V13" s="7">
        <f>$B13 * IFERROR(VLOOKUP("industry|SO2|Non-fatal heart attacks", US_national_yearly!$D:$AM, 30, FALSE) / VLOOKUP("industry|SO2|Non-fatal heart attacks", US_national_yearly!$D:$AM, 10, FALSE), 1)</f>
        <v>1.7688387304003331E-3</v>
      </c>
      <c r="W13" s="7">
        <f>$B13 * IFERROR(VLOOKUP("industry|SO2|Non-fatal heart attacks", US_national_yearly!$D:$AM, 31, FALSE) / VLOOKUP("industry|SO2|Non-fatal heart attacks", US_national_yearly!$D:$AM, 10, FALSE), 1)</f>
        <v>1.7785535525443263E-3</v>
      </c>
      <c r="X13" s="7">
        <f>$B13 * IFERROR(VLOOKUP("industry|SO2|Non-fatal heart attacks", US_national_yearly!$D:$AM, 32, FALSE) / VLOOKUP("industry|SO2|Non-fatal heart attacks", US_national_yearly!$D:$AM, 10, FALSE), 1)</f>
        <v>1.7859316796211141E-3</v>
      </c>
      <c r="Y13" s="7">
        <f>$B13 * IFERROR(VLOOKUP("industry|SO2|Non-fatal heart attacks", US_national_yearly!$D:$AM, 33, FALSE) / VLOOKUP("industry|SO2|Non-fatal heart attacks", US_national_yearly!$D:$AM, 10, FALSE), 1)</f>
        <v>1.7933098066979019E-3</v>
      </c>
      <c r="Z13" s="7">
        <f>$B13 * IFERROR(VLOOKUP("industry|SO2|Non-fatal heart attacks", US_national_yearly!$D:$AM, 34, FALSE) / VLOOKUP("industry|SO2|Non-fatal heart attacks", US_national_yearly!$D:$AM, 10, FALSE), 1)</f>
        <v>1.8006879337746898E-3</v>
      </c>
      <c r="AA13" s="7">
        <f>$B13 * IFERROR(VLOOKUP("industry|SO2|Non-fatal heart attacks", US_national_yearly!$D:$AM, 35, FALSE) / VLOOKUP("industry|SO2|Non-fatal heart attacks", US_national_yearly!$D:$AM, 10, FALSE), 1)</f>
        <v>1.8080660608514778E-3</v>
      </c>
      <c r="AB13" s="7">
        <f>$B13 * IFERROR(VLOOKUP("industry|SO2|Non-fatal heart attacks", US_national_yearly!$D:$AM, 36, FALSE) / VLOOKUP("industry|SO2|Non-fatal heart attacks", US_national_yearly!$D:$AM, 10, FALSE), 1)</f>
        <v>1.8154441879282654E-3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0.93686890169201253</v>
      </c>
      <c r="C14" s="7">
        <f>$B14 * IFERROR(VLOOKUP("industry|SO2|Minor restricted activity days", US_national_yearly!$D:$AM, 11, FALSE) / VLOOKUP("industry|SO2|Minor restricted activity days", US_national_yearly!$D:$AM, 10, FALSE), 1)</f>
        <v>0.93921237530003077</v>
      </c>
      <c r="D14" s="7">
        <f>$B14 * IFERROR(VLOOKUP("industry|SO2|Minor restricted activity days", US_national_yearly!$D:$AM, 12, FALSE) / VLOOKUP("industry|SO2|Minor restricted activity days", US_national_yearly!$D:$AM, 10, FALSE), 1)</f>
        <v>0.94155584890804878</v>
      </c>
      <c r="E14" s="7">
        <f>$B14 * IFERROR(VLOOKUP("industry|SO2|Minor restricted activity days", US_national_yearly!$D:$AM, 13, FALSE) / VLOOKUP("industry|SO2|Minor restricted activity days", US_national_yearly!$D:$AM, 10, FALSE), 1)</f>
        <v>0.94389932251606701</v>
      </c>
      <c r="F14" s="7">
        <f>$B14 * IFERROR(VLOOKUP("industry|SO2|Minor restricted activity days", US_national_yearly!$D:$AM, 14, FALSE) / VLOOKUP("industry|SO2|Minor restricted activity days", US_national_yearly!$D:$AM, 10, FALSE), 1)</f>
        <v>0.94624279612408513</v>
      </c>
      <c r="G14" s="7">
        <f>$B14 * IFERROR(VLOOKUP("industry|SO2|Minor restricted activity days", US_national_yearly!$D:$AM, 15, FALSE) / VLOOKUP("industry|SO2|Minor restricted activity days", US_national_yearly!$D:$AM, 10, FALSE), 1)</f>
        <v>0.94969026910472132</v>
      </c>
      <c r="H14" s="7">
        <f>$B14 * IFERROR(VLOOKUP("industry|SO2|Minor restricted activity days", US_national_yearly!$D:$AM, 16, FALSE) / VLOOKUP("industry|SO2|Minor restricted activity days", US_national_yearly!$D:$AM, 10, FALSE), 1)</f>
        <v>0.95313774208535718</v>
      </c>
      <c r="I14" s="7">
        <f>$B14 * IFERROR(VLOOKUP("industry|SO2|Minor restricted activity days", US_national_yearly!$D:$AM, 17, FALSE) / VLOOKUP("industry|SO2|Minor restricted activity days", US_national_yearly!$D:$AM, 10, FALSE), 1)</f>
        <v>0.9590167262992948</v>
      </c>
      <c r="J14" s="7">
        <f>$B14 * IFERROR(VLOOKUP("industry|SO2|Minor restricted activity days", US_national_yearly!$D:$AM, 18, FALSE) / VLOOKUP("industry|SO2|Minor restricted activity days", US_national_yearly!$D:$AM, 10, FALSE), 1)</f>
        <v>0.96489571051323253</v>
      </c>
      <c r="K14" s="7">
        <f>$B14 * IFERROR(VLOOKUP("industry|SO2|Minor restricted activity days", US_national_yearly!$D:$AM, 19, FALSE) / VLOOKUP("industry|SO2|Minor restricted activity days", US_national_yearly!$D:$AM, 10, FALSE), 1)</f>
        <v>0.97077469472717026</v>
      </c>
      <c r="L14" s="7">
        <f>$B14 * IFERROR(VLOOKUP("industry|SO2|Minor restricted activity days", US_national_yearly!$D:$AM, 20, FALSE) / VLOOKUP("industry|SO2|Minor restricted activity days", US_national_yearly!$D:$AM, 10, FALSE), 1)</f>
        <v>0.97665367894110799</v>
      </c>
      <c r="M14" s="7">
        <f>$B14 * IFERROR(VLOOKUP("industry|SO2|Minor restricted activity days", US_national_yearly!$D:$AM, 21, FALSE) / VLOOKUP("industry|SO2|Minor restricted activity days", US_national_yearly!$D:$AM, 10, FALSE), 1)</f>
        <v>0.98253266315504562</v>
      </c>
      <c r="N14" s="7">
        <f>$B14 * IFERROR(VLOOKUP("industry|SO2|Minor restricted activity days", US_national_yearly!$D:$AM, 22, FALSE) / VLOOKUP("industry|SO2|Minor restricted activity days", US_national_yearly!$D:$AM, 10, FALSE), 1)</f>
        <v>0.99059345756143213</v>
      </c>
      <c r="O14" s="7">
        <f>$B14 * IFERROR(VLOOKUP("industry|SO2|Minor restricted activity days", US_national_yearly!$D:$AM, 23, FALSE) / VLOOKUP("industry|SO2|Minor restricted activity days", US_national_yearly!$D:$AM, 10, FALSE), 1)</f>
        <v>0.99865425196781865</v>
      </c>
      <c r="P14" s="7">
        <f>$B14 * IFERROR(VLOOKUP("industry|SO2|Minor restricted activity days", US_national_yearly!$D:$AM, 24, FALSE) / VLOOKUP("industry|SO2|Minor restricted activity days", US_national_yearly!$D:$AM, 10, FALSE), 1)</f>
        <v>1.0067150463742052</v>
      </c>
      <c r="Q14" s="7">
        <f>$B14 * IFERROR(VLOOKUP("industry|SO2|Minor restricted activity days", US_national_yearly!$D:$AM, 25, FALSE) / VLOOKUP("industry|SO2|Minor restricted activity days", US_national_yearly!$D:$AM, 10, FALSE), 1)</f>
        <v>1.014775840780592</v>
      </c>
      <c r="R14" s="7">
        <f>$B14 * IFERROR(VLOOKUP("industry|SO2|Minor restricted activity days", US_national_yearly!$D:$AM, 26, FALSE) / VLOOKUP("industry|SO2|Minor restricted activity days", US_national_yearly!$D:$AM, 10, FALSE), 1)</f>
        <v>1.0228366351869784</v>
      </c>
      <c r="S14" s="7">
        <f>$B14 * IFERROR(VLOOKUP("industry|SO2|Minor restricted activity days", US_national_yearly!$D:$AM, 27, FALSE) / VLOOKUP("industry|SO2|Minor restricted activity days", US_national_yearly!$D:$AM, 10, FALSE), 1)</f>
        <v>1.0310633268844454</v>
      </c>
      <c r="T14" s="7">
        <f>$B14 * IFERROR(VLOOKUP("industry|SO2|Minor restricted activity days", US_national_yearly!$D:$AM, 28, FALSE) / VLOOKUP("industry|SO2|Minor restricted activity days", US_national_yearly!$D:$AM, 10, FALSE), 1)</f>
        <v>1.0392900185819123</v>
      </c>
      <c r="U14" s="7">
        <f>$B14 * IFERROR(VLOOKUP("industry|SO2|Minor restricted activity days", US_national_yearly!$D:$AM, 29, FALSE) / VLOOKUP("industry|SO2|Minor restricted activity days", US_national_yearly!$D:$AM, 10, FALSE), 1)</f>
        <v>1.047516710279379</v>
      </c>
      <c r="V14" s="7">
        <f>$B14 * IFERROR(VLOOKUP("industry|SO2|Minor restricted activity days", US_national_yearly!$D:$AM, 30, FALSE) / VLOOKUP("industry|SO2|Minor restricted activity days", US_national_yearly!$D:$AM, 10, FALSE), 1)</f>
        <v>1.0557434019768461</v>
      </c>
      <c r="W14" s="7">
        <f>$B14 * IFERROR(VLOOKUP("industry|SO2|Minor restricted activity days", US_national_yearly!$D:$AM, 31, FALSE) / VLOOKUP("industry|SO2|Minor restricted activity days", US_national_yearly!$D:$AM, 10, FALSE), 1)</f>
        <v>1.0639700936743128</v>
      </c>
      <c r="X14" s="7">
        <f>$B14 * IFERROR(VLOOKUP("industry|SO2|Minor restricted activity days", US_national_yearly!$D:$AM, 32, FALSE) / VLOOKUP("industry|SO2|Minor restricted activity days", US_national_yearly!$D:$AM, 10, FALSE), 1)</f>
        <v>1.0712037587541312</v>
      </c>
      <c r="Y14" s="7">
        <f>$B14 * IFERROR(VLOOKUP("industry|SO2|Minor restricted activity days", US_national_yearly!$D:$AM, 33, FALSE) / VLOOKUP("industry|SO2|Minor restricted activity days", US_national_yearly!$D:$AM, 10, FALSE), 1)</f>
        <v>1.0784374238339494</v>
      </c>
      <c r="Z14" s="7">
        <f>$B14 * IFERROR(VLOOKUP("industry|SO2|Minor restricted activity days", US_national_yearly!$D:$AM, 34, FALSE) / VLOOKUP("industry|SO2|Minor restricted activity days", US_national_yearly!$D:$AM, 10, FALSE), 1)</f>
        <v>1.0856710889137675</v>
      </c>
      <c r="AA14" s="7">
        <f>$B14 * IFERROR(VLOOKUP("industry|SO2|Minor restricted activity days", US_national_yearly!$D:$AM, 35, FALSE) / VLOOKUP("industry|SO2|Minor restricted activity days", US_national_yearly!$D:$AM, 10, FALSE), 1)</f>
        <v>1.0929047539935854</v>
      </c>
      <c r="AB14" s="7">
        <f>$B14 * IFERROR(VLOOKUP("industry|SO2|Minor restricted activity days", US_national_yearly!$D:$AM, 36, FALSE) / VLOOKUP("industry|SO2|Minor restricted activity days", US_national_yearly!$D:$AM, 10, FALSE), 1)</f>
        <v>1.1001384190734038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0.15827621285537802</v>
      </c>
      <c r="C15" s="7">
        <f>$B15 * IFERROR(VLOOKUP("industry|SO2|Work loss days", US_national_yearly!$D:$AM, 11, FALSE) / VLOOKUP("industry|SO2|Work loss days", US_national_yearly!$D:$AM, 10, FALSE), 1)</f>
        <v>0.15878521127436968</v>
      </c>
      <c r="D15" s="7">
        <f>$B15 * IFERROR(VLOOKUP("industry|SO2|Work loss days", US_national_yearly!$D:$AM, 12, FALSE) / VLOOKUP("industry|SO2|Work loss days", US_national_yearly!$D:$AM, 10, FALSE), 1)</f>
        <v>0.15929420969336142</v>
      </c>
      <c r="E15" s="7">
        <f>$B15 * IFERROR(VLOOKUP("industry|SO2|Work loss days", US_national_yearly!$D:$AM, 13, FALSE) / VLOOKUP("industry|SO2|Work loss days", US_national_yearly!$D:$AM, 10, FALSE), 1)</f>
        <v>0.1598032081123531</v>
      </c>
      <c r="F15" s="7">
        <f>$B15 * IFERROR(VLOOKUP("industry|SO2|Work loss days", US_national_yearly!$D:$AM, 14, FALSE) / VLOOKUP("industry|SO2|Work loss days", US_national_yearly!$D:$AM, 10, FALSE), 1)</f>
        <v>0.16031220653134484</v>
      </c>
      <c r="G15" s="7">
        <f>$B15 * IFERROR(VLOOKUP("industry|SO2|Work loss days", US_national_yearly!$D:$AM, 15, FALSE) / VLOOKUP("industry|SO2|Work loss days", US_national_yearly!$D:$AM, 10, FALSE), 1)</f>
        <v>0.16097658701895007</v>
      </c>
      <c r="H15" s="7">
        <f>$B15 * IFERROR(VLOOKUP("industry|SO2|Work loss days", US_national_yearly!$D:$AM, 16, FALSE) / VLOOKUP("industry|SO2|Work loss days", US_national_yearly!$D:$AM, 10, FALSE), 1)</f>
        <v>0.16164096750655532</v>
      </c>
      <c r="I15" s="7">
        <f>$B15 * IFERROR(VLOOKUP("industry|SO2|Work loss days", US_national_yearly!$D:$AM, 17, FALSE) / VLOOKUP("industry|SO2|Work loss days", US_national_yearly!$D:$AM, 10, FALSE), 1)</f>
        <v>0.16261210456640104</v>
      </c>
      <c r="J15" s="7">
        <f>$B15 * IFERROR(VLOOKUP("industry|SO2|Work loss days", US_national_yearly!$D:$AM, 18, FALSE) / VLOOKUP("industry|SO2|Work loss days", US_national_yearly!$D:$AM, 10, FALSE), 1)</f>
        <v>0.16358324162624674</v>
      </c>
      <c r="K15" s="7">
        <f>$B15 * IFERROR(VLOOKUP("industry|SO2|Work loss days", US_national_yearly!$D:$AM, 19, FALSE) / VLOOKUP("industry|SO2|Work loss days", US_national_yearly!$D:$AM, 10, FALSE), 1)</f>
        <v>0.16455437868609241</v>
      </c>
      <c r="L15" s="7">
        <f>$B15 * IFERROR(VLOOKUP("industry|SO2|Work loss days", US_national_yearly!$D:$AM, 20, FALSE) / VLOOKUP("industry|SO2|Work loss days", US_national_yearly!$D:$AM, 10, FALSE), 1)</f>
        <v>0.16552551574593813</v>
      </c>
      <c r="M15" s="7">
        <f>$B15 * IFERROR(VLOOKUP("industry|SO2|Work loss days", US_national_yearly!$D:$AM, 21, FALSE) / VLOOKUP("industry|SO2|Work loss days", US_national_yearly!$D:$AM, 10, FALSE), 1)</f>
        <v>0.16649665280578382</v>
      </c>
      <c r="N15" s="7">
        <f>$B15 * IFERROR(VLOOKUP("industry|SO2|Work loss days", US_national_yearly!$D:$AM, 22, FALSE) / VLOOKUP("industry|SO2|Work loss days", US_national_yearly!$D:$AM, 10, FALSE), 1)</f>
        <v>0.16771722911986003</v>
      </c>
      <c r="O15" s="7">
        <f>$B15 * IFERROR(VLOOKUP("industry|SO2|Work loss days", US_national_yearly!$D:$AM, 23, FALSE) / VLOOKUP("industry|SO2|Work loss days", US_national_yearly!$D:$AM, 10, FALSE), 1)</f>
        <v>0.16893780543393622</v>
      </c>
      <c r="P15" s="7">
        <f>$B15 * IFERROR(VLOOKUP("industry|SO2|Work loss days", US_national_yearly!$D:$AM, 24, FALSE) / VLOOKUP("industry|SO2|Work loss days", US_national_yearly!$D:$AM, 10, FALSE), 1)</f>
        <v>0.17015838174801243</v>
      </c>
      <c r="Q15" s="7">
        <f>$B15 * IFERROR(VLOOKUP("industry|SO2|Work loss days", US_national_yearly!$D:$AM, 25, FALSE) / VLOOKUP("industry|SO2|Work loss days", US_national_yearly!$D:$AM, 10, FALSE), 1)</f>
        <v>0.17137895806208864</v>
      </c>
      <c r="R15" s="7">
        <f>$B15 * IFERROR(VLOOKUP("industry|SO2|Work loss days", US_national_yearly!$D:$AM, 26, FALSE) / VLOOKUP("industry|SO2|Work loss days", US_national_yearly!$D:$AM, 10, FALSE), 1)</f>
        <v>0.17259953437616482</v>
      </c>
      <c r="S15" s="7">
        <f>$B15 * IFERROR(VLOOKUP("industry|SO2|Work loss days", US_national_yearly!$D:$AM, 27, FALSE) / VLOOKUP("industry|SO2|Work loss days", US_national_yearly!$D:$AM, 10, FALSE), 1)</f>
        <v>0.17396530896846885</v>
      </c>
      <c r="T15" s="7">
        <f>$B15 * IFERROR(VLOOKUP("industry|SO2|Work loss days", US_national_yearly!$D:$AM, 28, FALSE) / VLOOKUP("industry|SO2|Work loss days", US_national_yearly!$D:$AM, 10, FALSE), 1)</f>
        <v>0.1753310835607729</v>
      </c>
      <c r="U15" s="7">
        <f>$B15 * IFERROR(VLOOKUP("industry|SO2|Work loss days", US_national_yearly!$D:$AM, 29, FALSE) / VLOOKUP("industry|SO2|Work loss days", US_national_yearly!$D:$AM, 10, FALSE), 1)</f>
        <v>0.17669685815307701</v>
      </c>
      <c r="V15" s="7">
        <f>$B15 * IFERROR(VLOOKUP("industry|SO2|Work loss days", US_national_yearly!$D:$AM, 30, FALSE) / VLOOKUP("industry|SO2|Work loss days", US_national_yearly!$D:$AM, 10, FALSE), 1)</f>
        <v>0.17806263274538101</v>
      </c>
      <c r="W15" s="7">
        <f>$B15 * IFERROR(VLOOKUP("industry|SO2|Work loss days", US_national_yearly!$D:$AM, 31, FALSE) / VLOOKUP("industry|SO2|Work loss days", US_national_yearly!$D:$AM, 10, FALSE), 1)</f>
        <v>0.17942840733768509</v>
      </c>
      <c r="X15" s="7">
        <f>$B15 * IFERROR(VLOOKUP("industry|SO2|Work loss days", US_national_yearly!$D:$AM, 32, FALSE) / VLOOKUP("industry|SO2|Work loss days", US_national_yearly!$D:$AM, 10, FALSE), 1)</f>
        <v>0.18065510905533516</v>
      </c>
      <c r="Y15" s="7">
        <f>$B15 * IFERROR(VLOOKUP("industry|SO2|Work loss days", US_national_yearly!$D:$AM, 33, FALSE) / VLOOKUP("industry|SO2|Work loss days", US_national_yearly!$D:$AM, 10, FALSE), 1)</f>
        <v>0.18188181077298529</v>
      </c>
      <c r="Z15" s="7">
        <f>$B15 * IFERROR(VLOOKUP("industry|SO2|Work loss days", US_national_yearly!$D:$AM, 34, FALSE) / VLOOKUP("industry|SO2|Work loss days", US_national_yearly!$D:$AM, 10, FALSE), 1)</f>
        <v>0.18310851249063534</v>
      </c>
      <c r="AA15" s="7">
        <f>$B15 * IFERROR(VLOOKUP("industry|SO2|Work loss days", US_national_yearly!$D:$AM, 35, FALSE) / VLOOKUP("industry|SO2|Work loss days", US_national_yearly!$D:$AM, 10, FALSE), 1)</f>
        <v>0.18433521420828547</v>
      </c>
      <c r="AB15" s="7">
        <f>$B15 * IFERROR(VLOOKUP("industry|SO2|Work loss days", US_national_yearly!$D:$AM, 36, FALSE) / VLOOKUP("industry|SO2|Work loss days", US_national_yearly!$D:$AM, 10, FALSE), 1)</f>
        <v>0.18556191592593557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3.2894091781883597E-4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3.3888716899292714E-4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3.4883342016701836E-4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3.5877967134110959E-4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3.6872592251520082E-4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3.7825801866222657E-4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3.8779011480925238E-4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3.9596898708431924E-4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4.0414785935938616E-4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4.1232673163445313E-4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4.2050560390952005E-4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4.2868447618458691E-4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4.341794859293801E-4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4.3967449567417323E-4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4.4516950541896632E-4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4.5066451516375945E-4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4.5615952490855259E-4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4.5906507302881491E-4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4.6197062114907735E-4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4.6487616926933967E-4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4.6778171738960211E-4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4.7068726550986444E-4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4.7265218640839301E-4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4.7461710730692158E-4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4.7658202820545021E-4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4.7854694910397884E-4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4.8051187000250735E-4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6.8887573309807447E-4</v>
      </c>
      <c r="C2" s="7">
        <f>$B2 * IFERROR(VLOOKUP("LULUCF|PM25|Premature mortality", US_national_yearly!$D:$AM, 11, FALSE) / VLOOKUP("LULUCF|PM25|Premature mortality", US_national_yearly!$D:$AM, 10, FALSE), 1)</f>
        <v>6.974162825268735E-4</v>
      </c>
      <c r="D2" s="7">
        <f>$B2 * IFERROR(VLOOKUP("LULUCF|PM25|Premature mortality", US_national_yearly!$D:$AM, 12, FALSE) / VLOOKUP("LULUCF|PM25|Premature mortality", US_national_yearly!$D:$AM, 10, FALSE), 1)</f>
        <v>7.0595683195567242E-4</v>
      </c>
      <c r="E2" s="7">
        <f>$B2 * IFERROR(VLOOKUP("LULUCF|PM25|Premature mortality", US_national_yearly!$D:$AM, 13, FALSE) / VLOOKUP("LULUCF|PM25|Premature mortality", US_national_yearly!$D:$AM, 10, FALSE), 1)</f>
        <v>7.1449738138447123E-4</v>
      </c>
      <c r="F2" s="7">
        <f>$B2 * IFERROR(VLOOKUP("LULUCF|PM25|Premature mortality", US_national_yearly!$D:$AM, 14, FALSE) / VLOOKUP("LULUCF|PM25|Premature mortality", US_national_yearly!$D:$AM, 10, FALSE), 1)</f>
        <v>7.2303793081327015E-4</v>
      </c>
      <c r="G2" s="7">
        <f>$B2 * IFERROR(VLOOKUP("LULUCF|PM25|Premature mortality", US_national_yearly!$D:$AM, 15, FALSE) / VLOOKUP("LULUCF|PM25|Premature mortality", US_national_yearly!$D:$AM, 10, FALSE), 1)</f>
        <v>7.3967058641455699E-4</v>
      </c>
      <c r="H2" s="7">
        <f>$B2 * IFERROR(VLOOKUP("LULUCF|PM25|Premature mortality", US_national_yearly!$D:$AM, 16, FALSE) / VLOOKUP("LULUCF|PM25|Premature mortality", US_national_yearly!$D:$AM, 10, FALSE), 1)</f>
        <v>7.5630324201584383E-4</v>
      </c>
      <c r="I2" s="7">
        <f>$B2 * IFERROR(VLOOKUP("LULUCF|PM25|Premature mortality", US_national_yearly!$D:$AM, 17, FALSE) / VLOOKUP("LULUCF|PM25|Premature mortality", US_national_yearly!$D:$AM, 10, FALSE), 1)</f>
        <v>7.6722827036865922E-4</v>
      </c>
      <c r="J2" s="7">
        <f>$B2 * IFERROR(VLOOKUP("LULUCF|PM25|Premature mortality", US_national_yearly!$D:$AM, 18, FALSE) / VLOOKUP("LULUCF|PM25|Premature mortality", US_national_yearly!$D:$AM, 10, FALSE), 1)</f>
        <v>7.7815329872147482E-4</v>
      </c>
      <c r="K2" s="7">
        <f>$B2 * IFERROR(VLOOKUP("LULUCF|PM25|Premature mortality", US_national_yearly!$D:$AM, 19, FALSE) / VLOOKUP("LULUCF|PM25|Premature mortality", US_national_yearly!$D:$AM, 10, FALSE), 1)</f>
        <v>7.8907832707429031E-4</v>
      </c>
      <c r="L2" s="7">
        <f>$B2 * IFERROR(VLOOKUP("LULUCF|PM25|Premature mortality", US_national_yearly!$D:$AM, 20, FALSE) / VLOOKUP("LULUCF|PM25|Premature mortality", US_national_yearly!$D:$AM, 10, FALSE), 1)</f>
        <v>8.0000335542710591E-4</v>
      </c>
      <c r="M2" s="7">
        <f>$B2 * IFERROR(VLOOKUP("LULUCF|PM25|Premature mortality", US_national_yearly!$D:$AM, 21, FALSE) / VLOOKUP("LULUCF|PM25|Premature mortality", US_national_yearly!$D:$AM, 10, FALSE), 1)</f>
        <v>8.109283837799214E-4</v>
      </c>
      <c r="N2" s="7">
        <f>$B2 * IFERROR(VLOOKUP("LULUCF|PM25|Premature mortality", US_national_yearly!$D:$AM, 22, FALSE) / VLOOKUP("LULUCF|PM25|Premature mortality", US_national_yearly!$D:$AM, 10, FALSE), 1)</f>
        <v>8.1941097298294759E-4</v>
      </c>
      <c r="O2" s="7">
        <f>$B2 * IFERROR(VLOOKUP("LULUCF|PM25|Premature mortality", US_national_yearly!$D:$AM, 23, FALSE) / VLOOKUP("LULUCF|PM25|Premature mortality", US_national_yearly!$D:$AM, 10, FALSE), 1)</f>
        <v>8.2789356218597378E-4</v>
      </c>
      <c r="P2" s="7">
        <f>$B2 * IFERROR(VLOOKUP("LULUCF|PM25|Premature mortality", US_national_yearly!$D:$AM, 24, FALSE) / VLOOKUP("LULUCF|PM25|Premature mortality", US_national_yearly!$D:$AM, 10, FALSE), 1)</f>
        <v>8.3637615138899997E-4</v>
      </c>
      <c r="Q2" s="7">
        <f>$B2 * IFERROR(VLOOKUP("LULUCF|PM25|Premature mortality", US_national_yearly!$D:$AM, 25, FALSE) / VLOOKUP("LULUCF|PM25|Premature mortality", US_national_yearly!$D:$AM, 10, FALSE), 1)</f>
        <v>8.4485874059202616E-4</v>
      </c>
      <c r="R2" s="7">
        <f>$B2 * IFERROR(VLOOKUP("LULUCF|PM25|Premature mortality", US_national_yearly!$D:$AM, 26, FALSE) / VLOOKUP("LULUCF|PM25|Premature mortality", US_national_yearly!$D:$AM, 10, FALSE), 1)</f>
        <v>8.5334132979505257E-4</v>
      </c>
      <c r="S2" s="7">
        <f>$B2 * IFERROR(VLOOKUP("LULUCF|PM25|Premature mortality", US_national_yearly!$D:$AM, 27, FALSE) / VLOOKUP("LULUCF|PM25|Premature mortality", US_national_yearly!$D:$AM, 10, FALSE), 1)</f>
        <v>8.5783515352869045E-4</v>
      </c>
      <c r="T2" s="7">
        <f>$B2 * IFERROR(VLOOKUP("LULUCF|PM25|Premature mortality", US_national_yearly!$D:$AM, 28, FALSE) / VLOOKUP("LULUCF|PM25|Premature mortality", US_national_yearly!$D:$AM, 10, FALSE), 1)</f>
        <v>8.6232897726232812E-4</v>
      </c>
      <c r="U2" s="7">
        <f>$B2 * IFERROR(VLOOKUP("LULUCF|PM25|Premature mortality", US_national_yearly!$D:$AM, 29, FALSE) / VLOOKUP("LULUCF|PM25|Premature mortality", US_national_yearly!$D:$AM, 10, FALSE), 1)</f>
        <v>8.668228009959659E-4</v>
      </c>
      <c r="V2" s="7">
        <f>$B2 * IFERROR(VLOOKUP("LULUCF|PM25|Premature mortality", US_national_yearly!$D:$AM, 30, FALSE) / VLOOKUP("LULUCF|PM25|Premature mortality", US_national_yearly!$D:$AM, 10, FALSE), 1)</f>
        <v>8.7131662472960368E-4</v>
      </c>
      <c r="W2" s="7">
        <f>$B2 * IFERROR(VLOOKUP("LULUCF|PM25|Premature mortality", US_national_yearly!$D:$AM, 31, FALSE) / VLOOKUP("LULUCF|PM25|Premature mortality", US_national_yearly!$D:$AM, 10, FALSE), 1)</f>
        <v>8.7581044846324135E-4</v>
      </c>
      <c r="X2" s="7">
        <f>$B2 * IFERROR(VLOOKUP("LULUCF|PM25|Premature mortality", US_national_yearly!$D:$AM, 32, FALSE) / VLOOKUP("LULUCF|PM25|Premature mortality", US_national_yearly!$D:$AM, 10, FALSE), 1)</f>
        <v>8.7659622830520265E-4</v>
      </c>
      <c r="Y2" s="7">
        <f>$B2 * IFERROR(VLOOKUP("LULUCF|PM25|Premature mortality", US_national_yearly!$D:$AM, 33, FALSE) / VLOOKUP("LULUCF|PM25|Premature mortality", US_national_yearly!$D:$AM, 10, FALSE), 1)</f>
        <v>8.7738200814716405E-4</v>
      </c>
      <c r="Z2" s="7">
        <f>$B2 * IFERROR(VLOOKUP("LULUCF|PM25|Premature mortality", US_national_yearly!$D:$AM, 34, FALSE) / VLOOKUP("LULUCF|PM25|Premature mortality", US_national_yearly!$D:$AM, 10, FALSE), 1)</f>
        <v>8.7816778798912535E-4</v>
      </c>
      <c r="AA2" s="7">
        <f>$B2 * IFERROR(VLOOKUP("LULUCF|PM25|Premature mortality", US_national_yearly!$D:$AM, 35, FALSE) / VLOOKUP("LULUCF|PM25|Premature mortality", US_national_yearly!$D:$AM, 10, FALSE), 1)</f>
        <v>8.7895356783108676E-4</v>
      </c>
      <c r="AB2" s="7">
        <f>$B2 * IFERROR(VLOOKUP("LULUCF|PM25|Premature mortality", US_national_yearly!$D:$AM, 36, FALSE) / VLOOKUP("LULUCF|PM25|Premature mortality", US_national_yearly!$D:$AM, 10, FALSE), 1)</f>
        <v>8.7973934767304805E-4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1.9199558438696998E-6</v>
      </c>
      <c r="C3" s="7">
        <f>$B3 * IFERROR(VLOOKUP("LULUCF|PM25|Infant mortality", US_national_yearly!$D:$AM, 11, FALSE) / VLOOKUP("LULUCF|PM25|Infant mortality", US_national_yearly!$D:$AM, 10, FALSE), 1)</f>
        <v>1.9032155808833514E-6</v>
      </c>
      <c r="D3" s="7">
        <f>$B3 * IFERROR(VLOOKUP("LULUCF|PM25|Infant mortality", US_national_yearly!$D:$AM, 12, FALSE) / VLOOKUP("LULUCF|PM25|Infant mortality", US_national_yearly!$D:$AM, 10, FALSE), 1)</f>
        <v>1.8864753178970026E-6</v>
      </c>
      <c r="E3" s="7">
        <f>$B3 * IFERROR(VLOOKUP("LULUCF|PM25|Infant mortality", US_national_yearly!$D:$AM, 13, FALSE) / VLOOKUP("LULUCF|PM25|Infant mortality", US_national_yearly!$D:$AM, 10, FALSE), 1)</f>
        <v>1.8697350549106542E-6</v>
      </c>
      <c r="F3" s="7">
        <f>$B3 * IFERROR(VLOOKUP("LULUCF|PM25|Infant mortality", US_national_yearly!$D:$AM, 14, FALSE) / VLOOKUP("LULUCF|PM25|Infant mortality", US_national_yearly!$D:$AM, 10, FALSE), 1)</f>
        <v>1.8529947919243052E-6</v>
      </c>
      <c r="G3" s="7">
        <f>$B3 * IFERROR(VLOOKUP("LULUCF|PM25|Infant mortality", US_national_yearly!$D:$AM, 15, FALSE) / VLOOKUP("LULUCF|PM25|Infant mortality", US_national_yearly!$D:$AM, 10, FALSE), 1)</f>
        <v>1.2323406569456963E-6</v>
      </c>
      <c r="H3" s="7">
        <f>$B3 * IFERROR(VLOOKUP("LULUCF|PM25|Infant mortality", US_national_yearly!$D:$AM, 16, FALSE) / VLOOKUP("LULUCF|PM25|Infant mortality", US_national_yearly!$D:$AM, 10, FALSE), 1)</f>
        <v>6.1168652196708708E-7</v>
      </c>
      <c r="I3" s="7">
        <f>$B3 * IFERROR(VLOOKUP("LULUCF|PM25|Infant mortality", US_national_yearly!$D:$AM, 17, FALSE) / VLOOKUP("LULUCF|PM25|Infant mortality", US_national_yearly!$D:$AM, 10, FALSE), 1)</f>
        <v>6.0768814013000694E-7</v>
      </c>
      <c r="J3" s="7">
        <f>$B3 * IFERROR(VLOOKUP("LULUCF|PM25|Infant mortality", US_national_yearly!$D:$AM, 18, FALSE) / VLOOKUP("LULUCF|PM25|Infant mortality", US_national_yearly!$D:$AM, 10, FALSE), 1)</f>
        <v>6.036897582929266E-7</v>
      </c>
      <c r="K3" s="7">
        <f>$B3 * IFERROR(VLOOKUP("LULUCF|PM25|Infant mortality", US_national_yearly!$D:$AM, 19, FALSE) / VLOOKUP("LULUCF|PM25|Infant mortality", US_national_yearly!$D:$AM, 10, FALSE), 1)</f>
        <v>5.9969137645584625E-7</v>
      </c>
      <c r="L3" s="7">
        <f>$B3 * IFERROR(VLOOKUP("LULUCF|PM25|Infant mortality", US_national_yearly!$D:$AM, 20, FALSE) / VLOOKUP("LULUCF|PM25|Infant mortality", US_national_yearly!$D:$AM, 10, FALSE), 1)</f>
        <v>5.95692994618766E-7</v>
      </c>
      <c r="M3" s="7">
        <f>$B3 * IFERROR(VLOOKUP("LULUCF|PM25|Infant mortality", US_national_yearly!$D:$AM, 21, FALSE) / VLOOKUP("LULUCF|PM25|Infant mortality", US_national_yearly!$D:$AM, 10, FALSE), 1)</f>
        <v>5.9169461278168576E-7</v>
      </c>
      <c r="N3" s="7">
        <f>$B3 * IFERROR(VLOOKUP("LULUCF|PM25|Infant mortality", US_national_yearly!$D:$AM, 22, FALSE) / VLOOKUP("LULUCF|PM25|Infant mortality", US_national_yearly!$D:$AM, 10, FALSE), 1)</f>
        <v>5.8918318632389746E-7</v>
      </c>
      <c r="O3" s="7">
        <f>$B3 * IFERROR(VLOOKUP("LULUCF|PM25|Infant mortality", US_national_yearly!$D:$AM, 23, FALSE) / VLOOKUP("LULUCF|PM25|Infant mortality", US_national_yearly!$D:$AM, 10, FALSE), 1)</f>
        <v>5.8667175986610916E-7</v>
      </c>
      <c r="P3" s="7">
        <f>$B3 * IFERROR(VLOOKUP("LULUCF|PM25|Infant mortality", US_national_yearly!$D:$AM, 24, FALSE) / VLOOKUP("LULUCF|PM25|Infant mortality", US_national_yearly!$D:$AM, 10, FALSE), 1)</f>
        <v>5.8416033340832076E-7</v>
      </c>
      <c r="Q3" s="7">
        <f>$B3 * IFERROR(VLOOKUP("LULUCF|PM25|Infant mortality", US_national_yearly!$D:$AM, 25, FALSE) / VLOOKUP("LULUCF|PM25|Infant mortality", US_national_yearly!$D:$AM, 10, FALSE), 1)</f>
        <v>5.8164890695053246E-7</v>
      </c>
      <c r="R3" s="7">
        <f>$B3 * IFERROR(VLOOKUP("LULUCF|PM25|Infant mortality", US_national_yearly!$D:$AM, 26, FALSE) / VLOOKUP("LULUCF|PM25|Infant mortality", US_national_yearly!$D:$AM, 10, FALSE), 1)</f>
        <v>5.7913748049274416E-7</v>
      </c>
      <c r="S3" s="7">
        <f>$B3 * IFERROR(VLOOKUP("LULUCF|PM25|Infant mortality", US_national_yearly!$D:$AM, 27, FALSE) / VLOOKUP("LULUCF|PM25|Infant mortality", US_national_yearly!$D:$AM, 10, FALSE), 1)</f>
        <v>5.7600693606298223E-7</v>
      </c>
      <c r="T3" s="7">
        <f>$B3 * IFERROR(VLOOKUP("LULUCF|PM25|Infant mortality", US_national_yearly!$D:$AM, 28, FALSE) / VLOOKUP("LULUCF|PM25|Infant mortality", US_national_yearly!$D:$AM, 10, FALSE), 1)</f>
        <v>5.728763916332202E-7</v>
      </c>
      <c r="U3" s="7">
        <f>$B3 * IFERROR(VLOOKUP("LULUCF|PM25|Infant mortality", US_national_yearly!$D:$AM, 29, FALSE) / VLOOKUP("LULUCF|PM25|Infant mortality", US_national_yearly!$D:$AM, 10, FALSE), 1)</f>
        <v>5.6974584720345827E-7</v>
      </c>
      <c r="V3" s="7">
        <f>$B3 * IFERROR(VLOOKUP("LULUCF|PM25|Infant mortality", US_national_yearly!$D:$AM, 30, FALSE) / VLOOKUP("LULUCF|PM25|Infant mortality", US_national_yearly!$D:$AM, 10, FALSE), 1)</f>
        <v>5.6661530277369634E-7</v>
      </c>
      <c r="W3" s="7">
        <f>$B3 * IFERROR(VLOOKUP("LULUCF|PM25|Infant mortality", US_national_yearly!$D:$AM, 31, FALSE) / VLOOKUP("LULUCF|PM25|Infant mortality", US_national_yearly!$D:$AM, 10, FALSE), 1)</f>
        <v>5.634847583439343E-7</v>
      </c>
      <c r="X3" s="7">
        <f>$B3 * IFERROR(VLOOKUP("LULUCF|PM25|Infant mortality", US_national_yearly!$D:$AM, 32, FALSE) / VLOOKUP("LULUCF|PM25|Infant mortality", US_national_yearly!$D:$AM, 10, FALSE), 1)</f>
        <v>5.6010963798049565E-7</v>
      </c>
      <c r="Y3" s="7">
        <f>$B3 * IFERROR(VLOOKUP("LULUCF|PM25|Infant mortality", US_national_yearly!$D:$AM, 33, FALSE) / VLOOKUP("LULUCF|PM25|Infant mortality", US_national_yearly!$D:$AM, 10, FALSE), 1)</f>
        <v>5.5673451761705679E-7</v>
      </c>
      <c r="Z3" s="7">
        <f>$B3 * IFERROR(VLOOKUP("LULUCF|PM25|Infant mortality", US_national_yearly!$D:$AM, 34, FALSE) / VLOOKUP("LULUCF|PM25|Infant mortality", US_national_yearly!$D:$AM, 10, FALSE), 1)</f>
        <v>5.5335939725361824E-7</v>
      </c>
      <c r="AA3" s="7">
        <f>$B3 * IFERROR(VLOOKUP("LULUCF|PM25|Infant mortality", US_national_yearly!$D:$AM, 35, FALSE) / VLOOKUP("LULUCF|PM25|Infant mortality", US_national_yearly!$D:$AM, 10, FALSE), 1)</f>
        <v>5.4998427689017949E-7</v>
      </c>
      <c r="AB3" s="7">
        <f>$B3 * IFERROR(VLOOKUP("LULUCF|PM25|Infant mortality", US_national_yearly!$D:$AM, 36, FALSE) / VLOOKUP("LULUCF|PM25|Infant mortality", US_national_yearly!$D:$AM, 10, FALSE), 1)</f>
        <v>5.4660915652674084E-7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1.650020654290877E-3</v>
      </c>
      <c r="C6" s="7">
        <f>$B6 * IFERROR(VLOOKUP("LULUCF|PM25|Asthma symptoms cough", US_national_yearly!$D:$AM, 11, FALSE) / VLOOKUP("LULUCF|PM25|Asthma symptoms cough", US_national_yearly!$D:$AM, 10, FALSE), 1)</f>
        <v>1.650020654290877E-3</v>
      </c>
      <c r="D6" s="7">
        <f>$B6 * IFERROR(VLOOKUP("LULUCF|PM25|Asthma symptoms cough", US_national_yearly!$D:$AM, 12, FALSE) / VLOOKUP("LULUCF|PM25|Asthma symptoms cough", US_national_yearly!$D:$AM, 10, FALSE), 1)</f>
        <v>1.650020654290877E-3</v>
      </c>
      <c r="E6" s="7">
        <f>$B6 * IFERROR(VLOOKUP("LULUCF|PM25|Asthma symptoms cough", US_national_yearly!$D:$AM, 13, FALSE) / VLOOKUP("LULUCF|PM25|Asthma symptoms cough", US_national_yearly!$D:$AM, 10, FALSE), 1)</f>
        <v>1.650020654290877E-3</v>
      </c>
      <c r="F6" s="7">
        <f>$B6 * IFERROR(VLOOKUP("LULUCF|PM25|Asthma symptoms cough", US_national_yearly!$D:$AM, 14, FALSE) / VLOOKUP("LULUCF|PM25|Asthma symptoms cough", US_national_yearly!$D:$AM, 10, FALSE), 1)</f>
        <v>1.650020654290877E-3</v>
      </c>
      <c r="G6" s="7">
        <f>$B6 * IFERROR(VLOOKUP("LULUCF|PM25|Asthma symptoms cough", US_national_yearly!$D:$AM, 15, FALSE) / VLOOKUP("LULUCF|PM25|Asthma symptoms cough", US_national_yearly!$D:$AM, 10, FALSE), 1)</f>
        <v>1.650020654290877E-3</v>
      </c>
      <c r="H6" s="7">
        <f>$B6 * IFERROR(VLOOKUP("LULUCF|PM25|Asthma symptoms cough", US_national_yearly!$D:$AM, 16, FALSE) / VLOOKUP("LULUCF|PM25|Asthma symptoms cough", US_national_yearly!$D:$AM, 10, FALSE), 1)</f>
        <v>1.650020654290877E-3</v>
      </c>
      <c r="I6" s="7">
        <f>$B6 * IFERROR(VLOOKUP("LULUCF|PM25|Asthma symptoms cough", US_national_yearly!$D:$AM, 17, FALSE) / VLOOKUP("LULUCF|PM25|Asthma symptoms cough", US_national_yearly!$D:$AM, 10, FALSE), 1)</f>
        <v>1.650020654290877E-3</v>
      </c>
      <c r="J6" s="7">
        <f>$B6 * IFERROR(VLOOKUP("LULUCF|PM25|Asthma symptoms cough", US_national_yearly!$D:$AM, 18, FALSE) / VLOOKUP("LULUCF|PM25|Asthma symptoms cough", US_national_yearly!$D:$AM, 10, FALSE), 1)</f>
        <v>1.650020654290877E-3</v>
      </c>
      <c r="K6" s="7">
        <f>$B6 * IFERROR(VLOOKUP("LULUCF|PM25|Asthma symptoms cough", US_national_yearly!$D:$AM, 19, FALSE) / VLOOKUP("LULUCF|PM25|Asthma symptoms cough", US_national_yearly!$D:$AM, 10, FALSE), 1)</f>
        <v>1.650020654290877E-3</v>
      </c>
      <c r="L6" s="7">
        <f>$B6 * IFERROR(VLOOKUP("LULUCF|PM25|Asthma symptoms cough", US_national_yearly!$D:$AM, 20, FALSE) / VLOOKUP("LULUCF|PM25|Asthma symptoms cough", US_national_yearly!$D:$AM, 10, FALSE), 1)</f>
        <v>1.650020654290877E-3</v>
      </c>
      <c r="M6" s="7">
        <f>$B6 * IFERROR(VLOOKUP("LULUCF|PM25|Asthma symptoms cough", US_national_yearly!$D:$AM, 21, FALSE) / VLOOKUP("LULUCF|PM25|Asthma symptoms cough", US_national_yearly!$D:$AM, 10, FALSE), 1)</f>
        <v>1.650020654290877E-3</v>
      </c>
      <c r="N6" s="7">
        <f>$B6 * IFERROR(VLOOKUP("LULUCF|PM25|Asthma symptoms cough", US_national_yearly!$D:$AM, 22, FALSE) / VLOOKUP("LULUCF|PM25|Asthma symptoms cough", US_national_yearly!$D:$AM, 10, FALSE), 1)</f>
        <v>1.650020654290877E-3</v>
      </c>
      <c r="O6" s="7">
        <f>$B6 * IFERROR(VLOOKUP("LULUCF|PM25|Asthma symptoms cough", US_national_yearly!$D:$AM, 23, FALSE) / VLOOKUP("LULUCF|PM25|Asthma symptoms cough", US_national_yearly!$D:$AM, 10, FALSE), 1)</f>
        <v>1.650020654290877E-3</v>
      </c>
      <c r="P6" s="7">
        <f>$B6 * IFERROR(VLOOKUP("LULUCF|PM25|Asthma symptoms cough", US_national_yearly!$D:$AM, 24, FALSE) / VLOOKUP("LULUCF|PM25|Asthma symptoms cough", US_national_yearly!$D:$AM, 10, FALSE), 1)</f>
        <v>1.650020654290877E-3</v>
      </c>
      <c r="Q6" s="7">
        <f>$B6 * IFERROR(VLOOKUP("LULUCF|PM25|Asthma symptoms cough", US_national_yearly!$D:$AM, 25, FALSE) / VLOOKUP("LULUCF|PM25|Asthma symptoms cough", US_national_yearly!$D:$AM, 10, FALSE), 1)</f>
        <v>1.650020654290877E-3</v>
      </c>
      <c r="R6" s="7">
        <f>$B6 * IFERROR(VLOOKUP("LULUCF|PM25|Asthma symptoms cough", US_national_yearly!$D:$AM, 26, FALSE) / VLOOKUP("LULUCF|PM25|Asthma symptoms cough", US_national_yearly!$D:$AM, 10, FALSE), 1)</f>
        <v>1.650020654290877E-3</v>
      </c>
      <c r="S6" s="7">
        <f>$B6 * IFERROR(VLOOKUP("LULUCF|PM25|Asthma symptoms cough", US_national_yearly!$D:$AM, 27, FALSE) / VLOOKUP("LULUCF|PM25|Asthma symptoms cough", US_national_yearly!$D:$AM, 10, FALSE), 1)</f>
        <v>1.650020654290877E-3</v>
      </c>
      <c r="T6" s="7">
        <f>$B6 * IFERROR(VLOOKUP("LULUCF|PM25|Asthma symptoms cough", US_national_yearly!$D:$AM, 28, FALSE) / VLOOKUP("LULUCF|PM25|Asthma symptoms cough", US_national_yearly!$D:$AM, 10, FALSE), 1)</f>
        <v>1.650020654290877E-3</v>
      </c>
      <c r="U6" s="7">
        <f>$B6 * IFERROR(VLOOKUP("LULUCF|PM25|Asthma symptoms cough", US_national_yearly!$D:$AM, 29, FALSE) / VLOOKUP("LULUCF|PM25|Asthma symptoms cough", US_national_yearly!$D:$AM, 10, FALSE), 1)</f>
        <v>1.650020654290877E-3</v>
      </c>
      <c r="V6" s="7">
        <f>$B6 * IFERROR(VLOOKUP("LULUCF|PM25|Asthma symptoms cough", US_national_yearly!$D:$AM, 30, FALSE) / VLOOKUP("LULUCF|PM25|Asthma symptoms cough", US_national_yearly!$D:$AM, 10, FALSE), 1)</f>
        <v>1.650020654290877E-3</v>
      </c>
      <c r="W6" s="7">
        <f>$B6 * IFERROR(VLOOKUP("LULUCF|PM25|Asthma symptoms cough", US_national_yearly!$D:$AM, 31, FALSE) / VLOOKUP("LULUCF|PM25|Asthma symptoms cough", US_national_yearly!$D:$AM, 10, FALSE), 1)</f>
        <v>1.650020654290877E-3</v>
      </c>
      <c r="X6" s="7">
        <f>$B6 * IFERROR(VLOOKUP("LULUCF|PM25|Asthma symptoms cough", US_national_yearly!$D:$AM, 32, FALSE) / VLOOKUP("LULUCF|PM25|Asthma symptoms cough", US_national_yearly!$D:$AM, 10, FALSE), 1)</f>
        <v>1.650020654290877E-3</v>
      </c>
      <c r="Y6" s="7">
        <f>$B6 * IFERROR(VLOOKUP("LULUCF|PM25|Asthma symptoms cough", US_national_yearly!$D:$AM, 33, FALSE) / VLOOKUP("LULUCF|PM25|Asthma symptoms cough", US_national_yearly!$D:$AM, 10, FALSE), 1)</f>
        <v>1.650020654290877E-3</v>
      </c>
      <c r="Z6" s="7">
        <f>$B6 * IFERROR(VLOOKUP("LULUCF|PM25|Asthma symptoms cough", US_national_yearly!$D:$AM, 34, FALSE) / VLOOKUP("LULUCF|PM25|Asthma symptoms cough", US_national_yearly!$D:$AM, 10, FALSE), 1)</f>
        <v>1.650020654290877E-3</v>
      </c>
      <c r="AA6" s="7">
        <f>$B6 * IFERROR(VLOOKUP("LULUCF|PM25|Asthma symptoms cough", US_national_yearly!$D:$AM, 35, FALSE) / VLOOKUP("LULUCF|PM25|Asthma symptoms cough", US_national_yearly!$D:$AM, 10, FALSE), 1)</f>
        <v>1.650020654290877E-3</v>
      </c>
      <c r="AB6" s="7">
        <f>$B6 * IFERROR(VLOOKUP("LULUCF|PM25|Asthma symptoms cough", US_national_yearly!$D:$AM, 36, FALSE) / VLOOKUP("LULUCF|PM25|Asthma symptoms cough", US_national_yearly!$D:$AM, 10, FALSE), 1)</f>
        <v>1.650020654290877E-3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2.2219838234022104E-3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2.2219838234022104E-3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2.2219838234022104E-3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2.2219838234022104E-3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2.2219838234022104E-3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2.2219838234022104E-3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2.2219838234022104E-3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2.2219838234022104E-3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2.2219838234022104E-3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2.2219838234022104E-3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2.2219838234022104E-3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2.2219838234022104E-3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2.2219838234022104E-3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2.2219838234022104E-3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2.2219838234022104E-3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2.2219838234022104E-3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2.2219838234022104E-3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2.2219838234022104E-3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2.2219838234022104E-3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2.2219838234022104E-3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2.2219838234022104E-3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2.2219838234022104E-3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2.2219838234022104E-3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2.2219838234022104E-3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2.2219838234022104E-3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2.2219838234022104E-3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2.2219838234022104E-3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3.3948447148747728E-3</v>
      </c>
      <c r="C8" s="7">
        <f>$B8 * IFERROR(VLOOKUP("LULUCF|PM25|Asthma symptoms wheeze", US_national_yearly!$D:$AM, 11, FALSE) / VLOOKUP("LULUCF|PM25|Asthma symptoms wheeze", US_national_yearly!$D:$AM, 10, FALSE), 1)</f>
        <v>3.3948447148747728E-3</v>
      </c>
      <c r="D8" s="7">
        <f>$B8 * IFERROR(VLOOKUP("LULUCF|PM25|Asthma symptoms wheeze", US_national_yearly!$D:$AM, 12, FALSE) / VLOOKUP("LULUCF|PM25|Asthma symptoms wheeze", US_national_yearly!$D:$AM, 10, FALSE), 1)</f>
        <v>3.3948447148747728E-3</v>
      </c>
      <c r="E8" s="7">
        <f>$B8 * IFERROR(VLOOKUP("LULUCF|PM25|Asthma symptoms wheeze", US_national_yearly!$D:$AM, 13, FALSE) / VLOOKUP("LULUCF|PM25|Asthma symptoms wheeze", US_national_yearly!$D:$AM, 10, FALSE), 1)</f>
        <v>3.3948447148747728E-3</v>
      </c>
      <c r="F8" s="7">
        <f>$B8 * IFERROR(VLOOKUP("LULUCF|PM25|Asthma symptoms wheeze", US_national_yearly!$D:$AM, 14, FALSE) / VLOOKUP("LULUCF|PM25|Asthma symptoms wheeze", US_national_yearly!$D:$AM, 10, FALSE), 1)</f>
        <v>3.3948447148747728E-3</v>
      </c>
      <c r="G8" s="7">
        <f>$B8 * IFERROR(VLOOKUP("LULUCF|PM25|Asthma symptoms wheeze", US_national_yearly!$D:$AM, 15, FALSE) / VLOOKUP("LULUCF|PM25|Asthma symptoms wheeze", US_national_yearly!$D:$AM, 10, FALSE), 1)</f>
        <v>3.3948447148747728E-3</v>
      </c>
      <c r="H8" s="7">
        <f>$B8 * IFERROR(VLOOKUP("LULUCF|PM25|Asthma symptoms wheeze", US_national_yearly!$D:$AM, 16, FALSE) / VLOOKUP("LULUCF|PM25|Asthma symptoms wheeze", US_national_yearly!$D:$AM, 10, FALSE), 1)</f>
        <v>3.3948447148747728E-3</v>
      </c>
      <c r="I8" s="7">
        <f>$B8 * IFERROR(VLOOKUP("LULUCF|PM25|Asthma symptoms wheeze", US_national_yearly!$D:$AM, 17, FALSE) / VLOOKUP("LULUCF|PM25|Asthma symptoms wheeze", US_national_yearly!$D:$AM, 10, FALSE), 1)</f>
        <v>3.3948447148747728E-3</v>
      </c>
      <c r="J8" s="7">
        <f>$B8 * IFERROR(VLOOKUP("LULUCF|PM25|Asthma symptoms wheeze", US_national_yearly!$D:$AM, 18, FALSE) / VLOOKUP("LULUCF|PM25|Asthma symptoms wheeze", US_national_yearly!$D:$AM, 10, FALSE), 1)</f>
        <v>3.3948447148747728E-3</v>
      </c>
      <c r="K8" s="7">
        <f>$B8 * IFERROR(VLOOKUP("LULUCF|PM25|Asthma symptoms wheeze", US_national_yearly!$D:$AM, 19, FALSE) / VLOOKUP("LULUCF|PM25|Asthma symptoms wheeze", US_national_yearly!$D:$AM, 10, FALSE), 1)</f>
        <v>3.3948447148747728E-3</v>
      </c>
      <c r="L8" s="7">
        <f>$B8 * IFERROR(VLOOKUP("LULUCF|PM25|Asthma symptoms wheeze", US_national_yearly!$D:$AM, 20, FALSE) / VLOOKUP("LULUCF|PM25|Asthma symptoms wheeze", US_national_yearly!$D:$AM, 10, FALSE), 1)</f>
        <v>3.3948447148747728E-3</v>
      </c>
      <c r="M8" s="7">
        <f>$B8 * IFERROR(VLOOKUP("LULUCF|PM25|Asthma symptoms wheeze", US_national_yearly!$D:$AM, 21, FALSE) / VLOOKUP("LULUCF|PM25|Asthma symptoms wheeze", US_national_yearly!$D:$AM, 10, FALSE), 1)</f>
        <v>3.3948447148747728E-3</v>
      </c>
      <c r="N8" s="7">
        <f>$B8 * IFERROR(VLOOKUP("LULUCF|PM25|Asthma symptoms wheeze", US_national_yearly!$D:$AM, 22, FALSE) / VLOOKUP("LULUCF|PM25|Asthma symptoms wheeze", US_national_yearly!$D:$AM, 10, FALSE), 1)</f>
        <v>3.3948447148747728E-3</v>
      </c>
      <c r="O8" s="7">
        <f>$B8 * IFERROR(VLOOKUP("LULUCF|PM25|Asthma symptoms wheeze", US_national_yearly!$D:$AM, 23, FALSE) / VLOOKUP("LULUCF|PM25|Asthma symptoms wheeze", US_national_yearly!$D:$AM, 10, FALSE), 1)</f>
        <v>3.3948447148747728E-3</v>
      </c>
      <c r="P8" s="7">
        <f>$B8 * IFERROR(VLOOKUP("LULUCF|PM25|Asthma symptoms wheeze", US_national_yearly!$D:$AM, 24, FALSE) / VLOOKUP("LULUCF|PM25|Asthma symptoms wheeze", US_national_yearly!$D:$AM, 10, FALSE), 1)</f>
        <v>3.3948447148747728E-3</v>
      </c>
      <c r="Q8" s="7">
        <f>$B8 * IFERROR(VLOOKUP("LULUCF|PM25|Asthma symptoms wheeze", US_national_yearly!$D:$AM, 25, FALSE) / VLOOKUP("LULUCF|PM25|Asthma symptoms wheeze", US_national_yearly!$D:$AM, 10, FALSE), 1)</f>
        <v>3.3948447148747728E-3</v>
      </c>
      <c r="R8" s="7">
        <f>$B8 * IFERROR(VLOOKUP("LULUCF|PM25|Asthma symptoms wheeze", US_national_yearly!$D:$AM, 26, FALSE) / VLOOKUP("LULUCF|PM25|Asthma symptoms wheeze", US_national_yearly!$D:$AM, 10, FALSE), 1)</f>
        <v>3.3948447148747728E-3</v>
      </c>
      <c r="S8" s="7">
        <f>$B8 * IFERROR(VLOOKUP("LULUCF|PM25|Asthma symptoms wheeze", US_national_yearly!$D:$AM, 27, FALSE) / VLOOKUP("LULUCF|PM25|Asthma symptoms wheeze", US_national_yearly!$D:$AM, 10, FALSE), 1)</f>
        <v>3.3948447148747728E-3</v>
      </c>
      <c r="T8" s="7">
        <f>$B8 * IFERROR(VLOOKUP("LULUCF|PM25|Asthma symptoms wheeze", US_national_yearly!$D:$AM, 28, FALSE) / VLOOKUP("LULUCF|PM25|Asthma symptoms wheeze", US_national_yearly!$D:$AM, 10, FALSE), 1)</f>
        <v>3.3948447148747728E-3</v>
      </c>
      <c r="U8" s="7">
        <f>$B8 * IFERROR(VLOOKUP("LULUCF|PM25|Asthma symptoms wheeze", US_national_yearly!$D:$AM, 29, FALSE) / VLOOKUP("LULUCF|PM25|Asthma symptoms wheeze", US_national_yearly!$D:$AM, 10, FALSE), 1)</f>
        <v>3.3948447148747728E-3</v>
      </c>
      <c r="V8" s="7">
        <f>$B8 * IFERROR(VLOOKUP("LULUCF|PM25|Asthma symptoms wheeze", US_national_yearly!$D:$AM, 30, FALSE) / VLOOKUP("LULUCF|PM25|Asthma symptoms wheeze", US_national_yearly!$D:$AM, 10, FALSE), 1)</f>
        <v>3.3948447148747728E-3</v>
      </c>
      <c r="W8" s="7">
        <f>$B8 * IFERROR(VLOOKUP("LULUCF|PM25|Asthma symptoms wheeze", US_national_yearly!$D:$AM, 31, FALSE) / VLOOKUP("LULUCF|PM25|Asthma symptoms wheeze", US_national_yearly!$D:$AM, 10, FALSE), 1)</f>
        <v>3.3948447148747728E-3</v>
      </c>
      <c r="X8" s="7">
        <f>$B8 * IFERROR(VLOOKUP("LULUCF|PM25|Asthma symptoms wheeze", US_national_yearly!$D:$AM, 32, FALSE) / VLOOKUP("LULUCF|PM25|Asthma symptoms wheeze", US_national_yearly!$D:$AM, 10, FALSE), 1)</f>
        <v>3.3948447148747728E-3</v>
      </c>
      <c r="Y8" s="7">
        <f>$B8 * IFERROR(VLOOKUP("LULUCF|PM25|Asthma symptoms wheeze", US_national_yearly!$D:$AM, 33, FALSE) / VLOOKUP("LULUCF|PM25|Asthma symptoms wheeze", US_national_yearly!$D:$AM, 10, FALSE), 1)</f>
        <v>3.3948447148747728E-3</v>
      </c>
      <c r="Z8" s="7">
        <f>$B8 * IFERROR(VLOOKUP("LULUCF|PM25|Asthma symptoms wheeze", US_national_yearly!$D:$AM, 34, FALSE) / VLOOKUP("LULUCF|PM25|Asthma symptoms wheeze", US_national_yearly!$D:$AM, 10, FALSE), 1)</f>
        <v>3.3948447148747728E-3</v>
      </c>
      <c r="AA8" s="7">
        <f>$B8 * IFERROR(VLOOKUP("LULUCF|PM25|Asthma symptoms wheeze", US_national_yearly!$D:$AM, 35, FALSE) / VLOOKUP("LULUCF|PM25|Asthma symptoms wheeze", US_national_yearly!$D:$AM, 10, FALSE), 1)</f>
        <v>3.3948447148747728E-3</v>
      </c>
      <c r="AB8" s="7">
        <f>$B8 * IFERROR(VLOOKUP("LULUCF|PM25|Asthma symptoms wheeze", US_national_yearly!$D:$AM, 36, FALSE) / VLOOKUP("LULUCF|PM25|Asthma symptoms wheeze", US_national_yearly!$D:$AM, 10, FALSE), 1)</f>
        <v>3.3948447148747728E-3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4.6137910033268342E-5</v>
      </c>
      <c r="C12" s="7">
        <f>$B12 * IFERROR(VLOOKUP("LULUCF|PM25|Respiratory hospital admissions", US_national_yearly!$D:$AM, 11, FALSE) / VLOOKUP("LULUCF|PM25|Respiratory hospital admissions", US_national_yearly!$D:$AM, 10, FALSE), 1)</f>
        <v>4.6402353937373625E-5</v>
      </c>
      <c r="D12" s="7">
        <f>$B12 * IFERROR(VLOOKUP("LULUCF|PM25|Respiratory hospital admissions", US_national_yearly!$D:$AM, 12, FALSE) / VLOOKUP("LULUCF|PM25|Respiratory hospital admissions", US_national_yearly!$D:$AM, 10, FALSE), 1)</f>
        <v>4.6666797841478902E-5</v>
      </c>
      <c r="E12" s="7">
        <f>$B12 * IFERROR(VLOOKUP("LULUCF|PM25|Respiratory hospital admissions", US_national_yearly!$D:$AM, 13, FALSE) / VLOOKUP("LULUCF|PM25|Respiratory hospital admissions", US_national_yearly!$D:$AM, 10, FALSE), 1)</f>
        <v>4.6931241745584192E-5</v>
      </c>
      <c r="F12" s="7">
        <f>$B12 * IFERROR(VLOOKUP("LULUCF|PM25|Respiratory hospital admissions", US_national_yearly!$D:$AM, 14, FALSE) / VLOOKUP("LULUCF|PM25|Respiratory hospital admissions", US_national_yearly!$D:$AM, 10, FALSE), 1)</f>
        <v>4.7195685649689461E-5</v>
      </c>
      <c r="G12" s="7">
        <f>$B12 * IFERROR(VLOOKUP("LULUCF|PM25|Respiratory hospital admissions", US_national_yearly!$D:$AM, 15, FALSE) / VLOOKUP("LULUCF|PM25|Respiratory hospital admissions", US_national_yearly!$D:$AM, 10, FALSE), 1)</f>
        <v>4.7481296346050796E-5</v>
      </c>
      <c r="H12" s="7">
        <f>$B12 * IFERROR(VLOOKUP("LULUCF|PM25|Respiratory hospital admissions", US_national_yearly!$D:$AM, 16, FALSE) / VLOOKUP("LULUCF|PM25|Respiratory hospital admissions", US_national_yearly!$D:$AM, 10, FALSE), 1)</f>
        <v>4.776690704241213E-5</v>
      </c>
      <c r="I12" s="7">
        <f>$B12 * IFERROR(VLOOKUP("LULUCF|PM25|Respiratory hospital admissions", US_national_yearly!$D:$AM, 17, FALSE) / VLOOKUP("LULUCF|PM25|Respiratory hospital admissions", US_national_yearly!$D:$AM, 10, FALSE), 1)</f>
        <v>4.8039797211431972E-5</v>
      </c>
      <c r="J12" s="7">
        <f>$B12 * IFERROR(VLOOKUP("LULUCF|PM25|Respiratory hospital admissions", US_national_yearly!$D:$AM, 18, FALSE) / VLOOKUP("LULUCF|PM25|Respiratory hospital admissions", US_national_yearly!$D:$AM, 10, FALSE), 1)</f>
        <v>4.8312687380451835E-5</v>
      </c>
      <c r="K12" s="7">
        <f>$B12 * IFERROR(VLOOKUP("LULUCF|PM25|Respiratory hospital admissions", US_national_yearly!$D:$AM, 19, FALSE) / VLOOKUP("LULUCF|PM25|Respiratory hospital admissions", US_national_yearly!$D:$AM, 10, FALSE), 1)</f>
        <v>4.8585577549471684E-5</v>
      </c>
      <c r="L12" s="7">
        <f>$B12 * IFERROR(VLOOKUP("LULUCF|PM25|Respiratory hospital admissions", US_national_yearly!$D:$AM, 20, FALSE) / VLOOKUP("LULUCF|PM25|Respiratory hospital admissions", US_national_yearly!$D:$AM, 10, FALSE), 1)</f>
        <v>4.8858467718491547E-5</v>
      </c>
      <c r="M12" s="7">
        <f>$B12 * IFERROR(VLOOKUP("LULUCF|PM25|Respiratory hospital admissions", US_national_yearly!$D:$AM, 21, FALSE) / VLOOKUP("LULUCF|PM25|Respiratory hospital admissions", US_national_yearly!$D:$AM, 10, FALSE), 1)</f>
        <v>4.9131357887511389E-5</v>
      </c>
      <c r="N12" s="7">
        <f>$B12 * IFERROR(VLOOKUP("LULUCF|PM25|Respiratory hospital admissions", US_national_yearly!$D:$AM, 22, FALSE) / VLOOKUP("LULUCF|PM25|Respiratory hospital admissions", US_national_yearly!$D:$AM, 10, FALSE), 1)</f>
        <v>4.9327219125251185E-5</v>
      </c>
      <c r="O12" s="7">
        <f>$B12 * IFERROR(VLOOKUP("LULUCF|PM25|Respiratory hospital admissions", US_national_yearly!$D:$AM, 23, FALSE) / VLOOKUP("LULUCF|PM25|Respiratory hospital admissions", US_national_yearly!$D:$AM, 10, FALSE), 1)</f>
        <v>4.9523080362990981E-5</v>
      </c>
      <c r="P12" s="7">
        <f>$B12 * IFERROR(VLOOKUP("LULUCF|PM25|Respiratory hospital admissions", US_national_yearly!$D:$AM, 24, FALSE) / VLOOKUP("LULUCF|PM25|Respiratory hospital admissions", US_national_yearly!$D:$AM, 10, FALSE), 1)</f>
        <v>4.9718941600730764E-5</v>
      </c>
      <c r="Q12" s="7">
        <f>$B12 * IFERROR(VLOOKUP("LULUCF|PM25|Respiratory hospital admissions", US_national_yearly!$D:$AM, 25, FALSE) / VLOOKUP("LULUCF|PM25|Respiratory hospital admissions", US_national_yearly!$D:$AM, 10, FALSE), 1)</f>
        <v>4.9914802838470553E-5</v>
      </c>
      <c r="R12" s="7">
        <f>$B12 * IFERROR(VLOOKUP("LULUCF|PM25|Respiratory hospital admissions", US_national_yearly!$D:$AM, 26, FALSE) / VLOOKUP("LULUCF|PM25|Respiratory hospital admissions", US_national_yearly!$D:$AM, 10, FALSE), 1)</f>
        <v>5.0110664076210356E-5</v>
      </c>
      <c r="S12" s="7">
        <f>$B12 * IFERROR(VLOOKUP("LULUCF|PM25|Respiratory hospital admissions", US_national_yearly!$D:$AM, 27, FALSE) / VLOOKUP("LULUCF|PM25|Respiratory hospital admissions", US_national_yearly!$D:$AM, 10, FALSE), 1)</f>
        <v>5.0297149782756771E-5</v>
      </c>
      <c r="T12" s="7">
        <f>$B12 * IFERROR(VLOOKUP("LULUCF|PM25|Respiratory hospital admissions", US_national_yearly!$D:$AM, 28, FALSE) / VLOOKUP("LULUCF|PM25|Respiratory hospital admissions", US_national_yearly!$D:$AM, 10, FALSE), 1)</f>
        <v>5.04836354893032E-5</v>
      </c>
      <c r="U12" s="7">
        <f>$B12 * IFERROR(VLOOKUP("LULUCF|PM25|Respiratory hospital admissions", US_national_yearly!$D:$AM, 29, FALSE) / VLOOKUP("LULUCF|PM25|Respiratory hospital admissions", US_national_yearly!$D:$AM, 10, FALSE), 1)</f>
        <v>5.0670121195849615E-5</v>
      </c>
      <c r="V12" s="7">
        <f>$B12 * IFERROR(VLOOKUP("LULUCF|PM25|Respiratory hospital admissions", US_national_yearly!$D:$AM, 30, FALSE) / VLOOKUP("LULUCF|PM25|Respiratory hospital admissions", US_national_yearly!$D:$AM, 10, FALSE), 1)</f>
        <v>5.085660690239603E-5</v>
      </c>
      <c r="W12" s="7">
        <f>$B12 * IFERROR(VLOOKUP("LULUCF|PM25|Respiratory hospital admissions", US_national_yearly!$D:$AM, 31, FALSE) / VLOOKUP("LULUCF|PM25|Respiratory hospital admissions", US_national_yearly!$D:$AM, 10, FALSE), 1)</f>
        <v>5.1043092608942446E-5</v>
      </c>
      <c r="X12" s="7">
        <f>$B12 * IFERROR(VLOOKUP("LULUCF|PM25|Respiratory hospital admissions", US_national_yearly!$D:$AM, 32, FALSE) / VLOOKUP("LULUCF|PM25|Respiratory hospital admissions", US_national_yearly!$D:$AM, 10, FALSE), 1)</f>
        <v>5.1222494237483505E-5</v>
      </c>
      <c r="Y12" s="7">
        <f>$B12 * IFERROR(VLOOKUP("LULUCF|PM25|Respiratory hospital admissions", US_national_yearly!$D:$AM, 33, FALSE) / VLOOKUP("LULUCF|PM25|Respiratory hospital admissions", US_national_yearly!$D:$AM, 10, FALSE), 1)</f>
        <v>5.140189586602455E-5</v>
      </c>
      <c r="Z12" s="7">
        <f>$B12 * IFERROR(VLOOKUP("LULUCF|PM25|Respiratory hospital admissions", US_national_yearly!$D:$AM, 34, FALSE) / VLOOKUP("LULUCF|PM25|Respiratory hospital admissions", US_national_yearly!$D:$AM, 10, FALSE), 1)</f>
        <v>5.1581297494565603E-5</v>
      </c>
      <c r="AA12" s="7">
        <f>$B12 * IFERROR(VLOOKUP("LULUCF|PM25|Respiratory hospital admissions", US_national_yearly!$D:$AM, 35, FALSE) / VLOOKUP("LULUCF|PM25|Respiratory hospital admissions", US_national_yearly!$D:$AM, 10, FALSE), 1)</f>
        <v>5.1760699123106642E-5</v>
      </c>
      <c r="AB12" s="7">
        <f>$B12 * IFERROR(VLOOKUP("LULUCF|PM25|Respiratory hospital admissions", US_national_yearly!$D:$AM, 36, FALSE) / VLOOKUP("LULUCF|PM25|Respiratory hospital admissions", US_national_yearly!$D:$AM, 10, FALSE), 1)</f>
        <v>5.1940100751647701E-5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2.8818158259639174E-4</v>
      </c>
      <c r="C13" s="7">
        <f>$B13 * IFERROR(VLOOKUP("LULUCF|PM25|Non-fatal heart attacks", US_national_yearly!$D:$AM, 11, FALSE) / VLOOKUP("LULUCF|PM25|Non-fatal heart attacks", US_national_yearly!$D:$AM, 10, FALSE), 1)</f>
        <v>2.9655978594886388E-4</v>
      </c>
      <c r="D13" s="7">
        <f>$B13 * IFERROR(VLOOKUP("LULUCF|PM25|Non-fatal heart attacks", US_national_yearly!$D:$AM, 12, FALSE) / VLOOKUP("LULUCF|PM25|Non-fatal heart attacks", US_national_yearly!$D:$AM, 10, FALSE), 1)</f>
        <v>3.0493798930133603E-4</v>
      </c>
      <c r="E13" s="7">
        <f>$B13 * IFERROR(VLOOKUP("LULUCF|PM25|Non-fatal heart attacks", US_national_yearly!$D:$AM, 13, FALSE) / VLOOKUP("LULUCF|PM25|Non-fatal heart attacks", US_national_yearly!$D:$AM, 10, FALSE), 1)</f>
        <v>3.1331619265380812E-4</v>
      </c>
      <c r="F13" s="7">
        <f>$B13 * IFERROR(VLOOKUP("LULUCF|PM25|Non-fatal heart attacks", US_national_yearly!$D:$AM, 14, FALSE) / VLOOKUP("LULUCF|PM25|Non-fatal heart attacks", US_national_yearly!$D:$AM, 10, FALSE), 1)</f>
        <v>3.2169439600628031E-4</v>
      </c>
      <c r="G13" s="7">
        <f>$B13 * IFERROR(VLOOKUP("LULUCF|PM25|Non-fatal heart attacks", US_national_yearly!$D:$AM, 15, FALSE) / VLOOKUP("LULUCF|PM25|Non-fatal heart attacks", US_national_yearly!$D:$AM, 10, FALSE), 1)</f>
        <v>3.2959557142740894E-4</v>
      </c>
      <c r="H13" s="7">
        <f>$B13 * IFERROR(VLOOKUP("LULUCF|PM25|Non-fatal heart attacks", US_national_yearly!$D:$AM, 16, FALSE) / VLOOKUP("LULUCF|PM25|Non-fatal heart attacks", US_national_yearly!$D:$AM, 10, FALSE), 1)</f>
        <v>3.3749674684853745E-4</v>
      </c>
      <c r="I13" s="7">
        <f>$B13 * IFERROR(VLOOKUP("LULUCF|PM25|Non-fatal heart attacks", US_national_yearly!$D:$AM, 17, FALSE) / VLOOKUP("LULUCF|PM25|Non-fatal heart attacks", US_national_yearly!$D:$AM, 10, FALSE), 1)</f>
        <v>3.438466627314534E-4</v>
      </c>
      <c r="J13" s="7">
        <f>$B13 * IFERROR(VLOOKUP("LULUCF|PM25|Non-fatal heart attacks", US_national_yearly!$D:$AM, 18, FALSE) / VLOOKUP("LULUCF|PM25|Non-fatal heart attacks", US_national_yearly!$D:$AM, 10, FALSE), 1)</f>
        <v>3.501965786143693E-4</v>
      </c>
      <c r="K13" s="7">
        <f>$B13 * IFERROR(VLOOKUP("LULUCF|PM25|Non-fatal heart attacks", US_national_yearly!$D:$AM, 19, FALSE) / VLOOKUP("LULUCF|PM25|Non-fatal heart attacks", US_national_yearly!$D:$AM, 10, FALSE), 1)</f>
        <v>3.5654649449728531E-4</v>
      </c>
      <c r="L13" s="7">
        <f>$B13 * IFERROR(VLOOKUP("LULUCF|PM25|Non-fatal heart attacks", US_national_yearly!$D:$AM, 20, FALSE) / VLOOKUP("LULUCF|PM25|Non-fatal heart attacks", US_national_yearly!$D:$AM, 10, FALSE), 1)</f>
        <v>3.6289641038020121E-4</v>
      </c>
      <c r="M13" s="7">
        <f>$B13 * IFERROR(VLOOKUP("LULUCF|PM25|Non-fatal heart attacks", US_national_yearly!$D:$AM, 21, FALSE) / VLOOKUP("LULUCF|PM25|Non-fatal heart attacks", US_national_yearly!$D:$AM, 10, FALSE), 1)</f>
        <v>3.6924632626311721E-4</v>
      </c>
      <c r="N13" s="7">
        <f>$B13 * IFERROR(VLOOKUP("LULUCF|PM25|Non-fatal heart attacks", US_national_yearly!$D:$AM, 22, FALSE) / VLOOKUP("LULUCF|PM25|Non-fatal heart attacks", US_national_yearly!$D:$AM, 10, FALSE), 1)</f>
        <v>3.7334139498210823E-4</v>
      </c>
      <c r="O13" s="7">
        <f>$B13 * IFERROR(VLOOKUP("LULUCF|PM25|Non-fatal heart attacks", US_national_yearly!$D:$AM, 23, FALSE) / VLOOKUP("LULUCF|PM25|Non-fatal heart attacks", US_national_yearly!$D:$AM, 10, FALSE), 1)</f>
        <v>3.7743646370109931E-4</v>
      </c>
      <c r="P13" s="7">
        <f>$B13 * IFERROR(VLOOKUP("LULUCF|PM25|Non-fatal heart attacks", US_national_yearly!$D:$AM, 24, FALSE) / VLOOKUP("LULUCF|PM25|Non-fatal heart attacks", US_national_yearly!$D:$AM, 10, FALSE), 1)</f>
        <v>3.8153153242009039E-4</v>
      </c>
      <c r="Q13" s="7">
        <f>$B13 * IFERROR(VLOOKUP("LULUCF|PM25|Non-fatal heart attacks", US_national_yearly!$D:$AM, 25, FALSE) / VLOOKUP("LULUCF|PM25|Non-fatal heart attacks", US_national_yearly!$D:$AM, 10, FALSE), 1)</f>
        <v>3.8562660113908141E-4</v>
      </c>
      <c r="R13" s="7">
        <f>$B13 * IFERROR(VLOOKUP("LULUCF|PM25|Non-fatal heart attacks", US_national_yearly!$D:$AM, 26, FALSE) / VLOOKUP("LULUCF|PM25|Non-fatal heart attacks", US_national_yearly!$D:$AM, 10, FALSE), 1)</f>
        <v>3.8972166985807248E-4</v>
      </c>
      <c r="S13" s="7">
        <f>$B13 * IFERROR(VLOOKUP("LULUCF|PM25|Non-fatal heart attacks", US_national_yearly!$D:$AM, 27, FALSE) / VLOOKUP("LULUCF|PM25|Non-fatal heart attacks", US_national_yearly!$D:$AM, 10, FALSE), 1)</f>
        <v>3.9187825004071358E-4</v>
      </c>
      <c r="T13" s="7">
        <f>$B13 * IFERROR(VLOOKUP("LULUCF|PM25|Non-fatal heart attacks", US_national_yearly!$D:$AM, 28, FALSE) / VLOOKUP("LULUCF|PM25|Non-fatal heart attacks", US_national_yearly!$D:$AM, 10, FALSE), 1)</f>
        <v>3.9403483022335477E-4</v>
      </c>
      <c r="U13" s="7">
        <f>$B13 * IFERROR(VLOOKUP("LULUCF|PM25|Non-fatal heart attacks", US_national_yearly!$D:$AM, 29, FALSE) / VLOOKUP("LULUCF|PM25|Non-fatal heart attacks", US_national_yearly!$D:$AM, 10, FALSE), 1)</f>
        <v>3.9619141040599603E-4</v>
      </c>
      <c r="V13" s="7">
        <f>$B13 * IFERROR(VLOOKUP("LULUCF|PM25|Non-fatal heart attacks", US_national_yearly!$D:$AM, 30, FALSE) / VLOOKUP("LULUCF|PM25|Non-fatal heart attacks", US_national_yearly!$D:$AM, 10, FALSE), 1)</f>
        <v>3.9834799058863717E-4</v>
      </c>
      <c r="W13" s="7">
        <f>$B13 * IFERROR(VLOOKUP("LULUCF|PM25|Non-fatal heart attacks", US_national_yearly!$D:$AM, 31, FALSE) / VLOOKUP("LULUCF|PM25|Non-fatal heart attacks", US_national_yearly!$D:$AM, 10, FALSE), 1)</f>
        <v>4.0050457077127832E-4</v>
      </c>
      <c r="X13" s="7">
        <f>$B13 * IFERROR(VLOOKUP("LULUCF|PM25|Non-fatal heart attacks", US_national_yearly!$D:$AM, 32, FALSE) / VLOOKUP("LULUCF|PM25|Non-fatal heart attacks", US_national_yearly!$D:$AM, 10, FALSE), 1)</f>
        <v>4.0214172696498854E-4</v>
      </c>
      <c r="Y13" s="7">
        <f>$B13 * IFERROR(VLOOKUP("LULUCF|PM25|Non-fatal heart attacks", US_national_yearly!$D:$AM, 33, FALSE) / VLOOKUP("LULUCF|PM25|Non-fatal heart attacks", US_national_yearly!$D:$AM, 10, FALSE), 1)</f>
        <v>4.0377888315869882E-4</v>
      </c>
      <c r="Z13" s="7">
        <f>$B13 * IFERROR(VLOOKUP("LULUCF|PM25|Non-fatal heart attacks", US_national_yearly!$D:$AM, 34, FALSE) / VLOOKUP("LULUCF|PM25|Non-fatal heart attacks", US_national_yearly!$D:$AM, 10, FALSE), 1)</f>
        <v>4.0541603935240905E-4</v>
      </c>
      <c r="AA13" s="7">
        <f>$B13 * IFERROR(VLOOKUP("LULUCF|PM25|Non-fatal heart attacks", US_national_yearly!$D:$AM, 35, FALSE) / VLOOKUP("LULUCF|PM25|Non-fatal heart attacks", US_national_yearly!$D:$AM, 10, FALSE), 1)</f>
        <v>4.0705319554611933E-4</v>
      </c>
      <c r="AB13" s="7">
        <f>$B13 * IFERROR(VLOOKUP("LULUCF|PM25|Non-fatal heart attacks", US_national_yearly!$D:$AM, 36, FALSE) / VLOOKUP("LULUCF|PM25|Non-fatal heart attacks", US_national_yearly!$D:$AM, 10, FALSE), 1)</f>
        <v>4.0869035173982956E-4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0.20792760165237026</v>
      </c>
      <c r="C14" s="7">
        <f>$B14 * IFERROR(VLOOKUP("LULUCF|PM25|Minor restricted activity days", US_national_yearly!$D:$AM, 11, FALSE) / VLOOKUP("LULUCF|PM25|Minor restricted activity days", US_national_yearly!$D:$AM, 10, FALSE), 1)</f>
        <v>0.2084353855139234</v>
      </c>
      <c r="D14" s="7">
        <f>$B14 * IFERROR(VLOOKUP("LULUCF|PM25|Minor restricted activity days", US_national_yearly!$D:$AM, 12, FALSE) / VLOOKUP("LULUCF|PM25|Minor restricted activity days", US_national_yearly!$D:$AM, 10, FALSE), 1)</f>
        <v>0.20894316937547655</v>
      </c>
      <c r="E14" s="7">
        <f>$B14 * IFERROR(VLOOKUP("LULUCF|PM25|Minor restricted activity days", US_national_yearly!$D:$AM, 13, FALSE) / VLOOKUP("LULUCF|PM25|Minor restricted activity days", US_national_yearly!$D:$AM, 10, FALSE), 1)</f>
        <v>0.20945095323702972</v>
      </c>
      <c r="F14" s="7">
        <f>$B14 * IFERROR(VLOOKUP("LULUCF|PM25|Minor restricted activity days", US_national_yearly!$D:$AM, 14, FALSE) / VLOOKUP("LULUCF|PM25|Minor restricted activity days", US_national_yearly!$D:$AM, 10, FALSE), 1)</f>
        <v>0.20995873709858281</v>
      </c>
      <c r="G14" s="7">
        <f>$B14 * IFERROR(VLOOKUP("LULUCF|PM25|Minor restricted activity days", US_national_yearly!$D:$AM, 15, FALSE) / VLOOKUP("LULUCF|PM25|Minor restricted activity days", US_national_yearly!$D:$AM, 10, FALSE), 1)</f>
        <v>0.21070795698965042</v>
      </c>
      <c r="H14" s="7">
        <f>$B14 * IFERROR(VLOOKUP("LULUCF|PM25|Minor restricted activity days", US_national_yearly!$D:$AM, 16, FALSE) / VLOOKUP("LULUCF|PM25|Minor restricted activity days", US_national_yearly!$D:$AM, 10, FALSE), 1)</f>
        <v>0.21145717688071802</v>
      </c>
      <c r="I14" s="7">
        <f>$B14 * IFERROR(VLOOKUP("LULUCF|PM25|Minor restricted activity days", US_national_yearly!$D:$AM, 17, FALSE) / VLOOKUP("LULUCF|PM25|Minor restricted activity days", US_national_yearly!$D:$AM, 10, FALSE), 1)</f>
        <v>0.21273799980480132</v>
      </c>
      <c r="J14" s="7">
        <f>$B14 * IFERROR(VLOOKUP("LULUCF|PM25|Minor restricted activity days", US_national_yearly!$D:$AM, 18, FALSE) / VLOOKUP("LULUCF|PM25|Minor restricted activity days", US_national_yearly!$D:$AM, 10, FALSE), 1)</f>
        <v>0.21401882272888451</v>
      </c>
      <c r="K14" s="7">
        <f>$B14 * IFERROR(VLOOKUP("LULUCF|PM25|Minor restricted activity days", US_national_yearly!$D:$AM, 19, FALSE) / VLOOKUP("LULUCF|PM25|Minor restricted activity days", US_national_yearly!$D:$AM, 10, FALSE), 1)</f>
        <v>0.2152996456529678</v>
      </c>
      <c r="L14" s="7">
        <f>$B14 * IFERROR(VLOOKUP("LULUCF|PM25|Minor restricted activity days", US_national_yearly!$D:$AM, 20, FALSE) / VLOOKUP("LULUCF|PM25|Minor restricted activity days", US_national_yearly!$D:$AM, 10, FALSE), 1)</f>
        <v>0.21658046857705104</v>
      </c>
      <c r="M14" s="7">
        <f>$B14 * IFERROR(VLOOKUP("LULUCF|PM25|Minor restricted activity days", US_national_yearly!$D:$AM, 21, FALSE) / VLOOKUP("LULUCF|PM25|Minor restricted activity days", US_national_yearly!$D:$AM, 10, FALSE), 1)</f>
        <v>0.21786129150113429</v>
      </c>
      <c r="N14" s="7">
        <f>$B14 * IFERROR(VLOOKUP("LULUCF|PM25|Minor restricted activity days", US_national_yearly!$D:$AM, 22, FALSE) / VLOOKUP("LULUCF|PM25|Minor restricted activity days", US_national_yearly!$D:$AM, 10, FALSE), 1)</f>
        <v>0.21960602733512635</v>
      </c>
      <c r="O14" s="7">
        <f>$B14 * IFERROR(VLOOKUP("LULUCF|PM25|Minor restricted activity days", US_national_yearly!$D:$AM, 23, FALSE) / VLOOKUP("LULUCF|PM25|Minor restricted activity days", US_national_yearly!$D:$AM, 10, FALSE), 1)</f>
        <v>0.22135076316911839</v>
      </c>
      <c r="P14" s="7">
        <f>$B14 * IFERROR(VLOOKUP("LULUCF|PM25|Minor restricted activity days", US_national_yearly!$D:$AM, 24, FALSE) / VLOOKUP("LULUCF|PM25|Minor restricted activity days", US_national_yearly!$D:$AM, 10, FALSE), 1)</f>
        <v>0.22309549900311046</v>
      </c>
      <c r="Q14" s="7">
        <f>$B14 * IFERROR(VLOOKUP("LULUCF|PM25|Minor restricted activity days", US_national_yearly!$D:$AM, 25, FALSE) / VLOOKUP("LULUCF|PM25|Minor restricted activity days", US_national_yearly!$D:$AM, 10, FALSE), 1)</f>
        <v>0.22484023483710247</v>
      </c>
      <c r="R14" s="7">
        <f>$B14 * IFERROR(VLOOKUP("LULUCF|PM25|Minor restricted activity days", US_national_yearly!$D:$AM, 26, FALSE) / VLOOKUP("LULUCF|PM25|Minor restricted activity days", US_national_yearly!$D:$AM, 10, FALSE), 1)</f>
        <v>0.22658497067109448</v>
      </c>
      <c r="S14" s="7">
        <f>$B14 * IFERROR(VLOOKUP("LULUCF|PM25|Minor restricted activity days", US_national_yearly!$D:$AM, 27, FALSE) / VLOOKUP("LULUCF|PM25|Minor restricted activity days", US_national_yearly!$D:$AM, 10, FALSE), 1)</f>
        <v>0.22834172192906124</v>
      </c>
      <c r="T14" s="7">
        <f>$B14 * IFERROR(VLOOKUP("LULUCF|PM25|Minor restricted activity days", US_national_yearly!$D:$AM, 28, FALSE) / VLOOKUP("LULUCF|PM25|Minor restricted activity days", US_national_yearly!$D:$AM, 10, FALSE), 1)</f>
        <v>0.230098473187028</v>
      </c>
      <c r="U14" s="7">
        <f>$B14 * IFERROR(VLOOKUP("LULUCF|PM25|Minor restricted activity days", US_national_yearly!$D:$AM, 29, FALSE) / VLOOKUP("LULUCF|PM25|Minor restricted activity days", US_national_yearly!$D:$AM, 10, FALSE), 1)</f>
        <v>0.23185522444499476</v>
      </c>
      <c r="V14" s="7">
        <f>$B14 * IFERROR(VLOOKUP("LULUCF|PM25|Minor restricted activity days", US_national_yearly!$D:$AM, 30, FALSE) / VLOOKUP("LULUCF|PM25|Minor restricted activity days", US_national_yearly!$D:$AM, 10, FALSE), 1)</f>
        <v>0.23361197570296152</v>
      </c>
      <c r="W14" s="7">
        <f>$B14 * IFERROR(VLOOKUP("LULUCF|PM25|Minor restricted activity days", US_national_yearly!$D:$AM, 31, FALSE) / VLOOKUP("LULUCF|PM25|Minor restricted activity days", US_national_yearly!$D:$AM, 10, FALSE), 1)</f>
        <v>0.23536872696092828</v>
      </c>
      <c r="X14" s="7">
        <f>$B14 * IFERROR(VLOOKUP("LULUCF|PM25|Minor restricted activity days", US_national_yearly!$D:$AM, 32, FALSE) / VLOOKUP("LULUCF|PM25|Minor restricted activity days", US_national_yearly!$D:$AM, 10, FALSE), 1)</f>
        <v>0.23689376378538252</v>
      </c>
      <c r="Y14" s="7">
        <f>$B14 * IFERROR(VLOOKUP("LULUCF|PM25|Minor restricted activity days", US_national_yearly!$D:$AM, 33, FALSE) / VLOOKUP("LULUCF|PM25|Minor restricted activity days", US_national_yearly!$D:$AM, 10, FALSE), 1)</f>
        <v>0.23841880060983678</v>
      </c>
      <c r="Z14" s="7">
        <f>$B14 * IFERROR(VLOOKUP("LULUCF|PM25|Minor restricted activity days", US_national_yearly!$D:$AM, 34, FALSE) / VLOOKUP("LULUCF|PM25|Minor restricted activity days", US_national_yearly!$D:$AM, 10, FALSE), 1)</f>
        <v>0.23994383743429101</v>
      </c>
      <c r="AA14" s="7">
        <f>$B14 * IFERROR(VLOOKUP("LULUCF|PM25|Minor restricted activity days", US_national_yearly!$D:$AM, 35, FALSE) / VLOOKUP("LULUCF|PM25|Minor restricted activity days", US_national_yearly!$D:$AM, 10, FALSE), 1)</f>
        <v>0.24146887425874519</v>
      </c>
      <c r="AB14" s="7">
        <f>$B14 * IFERROR(VLOOKUP("LULUCF|PM25|Minor restricted activity days", US_national_yearly!$D:$AM, 36, FALSE) / VLOOKUP("LULUCF|PM25|Minor restricted activity days", US_national_yearly!$D:$AM, 10, FALSE), 1)</f>
        <v>0.24299391108319945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3.511417201134532E-2</v>
      </c>
      <c r="C15" s="7">
        <f>$B15 * IFERROR(VLOOKUP("LULUCF|PM25|Work loss days", US_national_yearly!$D:$AM, 11, FALSE) / VLOOKUP("LULUCF|PM25|Work loss days", US_national_yearly!$D:$AM, 10, FALSE), 1)</f>
        <v>3.5223013297481232E-2</v>
      </c>
      <c r="D15" s="7">
        <f>$B15 * IFERROR(VLOOKUP("LULUCF|PM25|Work loss days", US_national_yearly!$D:$AM, 12, FALSE) / VLOOKUP("LULUCF|PM25|Work loss days", US_national_yearly!$D:$AM, 10, FALSE), 1)</f>
        <v>3.533185458361715E-2</v>
      </c>
      <c r="E15" s="7">
        <f>$B15 * IFERROR(VLOOKUP("LULUCF|PM25|Work loss days", US_national_yearly!$D:$AM, 13, FALSE) / VLOOKUP("LULUCF|PM25|Work loss days", US_national_yearly!$D:$AM, 10, FALSE), 1)</f>
        <v>3.5440695869753062E-2</v>
      </c>
      <c r="F15" s="7">
        <f>$B15 * IFERROR(VLOOKUP("LULUCF|PM25|Work loss days", US_national_yearly!$D:$AM, 14, FALSE) / VLOOKUP("LULUCF|PM25|Work loss days", US_national_yearly!$D:$AM, 10, FALSE), 1)</f>
        <v>3.5549537155888968E-2</v>
      </c>
      <c r="G15" s="7">
        <f>$B15 * IFERROR(VLOOKUP("LULUCF|PM25|Work loss days", US_national_yearly!$D:$AM, 15, FALSE) / VLOOKUP("LULUCF|PM25|Work loss days", US_national_yearly!$D:$AM, 10, FALSE), 1)</f>
        <v>3.5692235027280007E-2</v>
      </c>
      <c r="H15" s="7">
        <f>$B15 * IFERROR(VLOOKUP("LULUCF|PM25|Work loss days", US_national_yearly!$D:$AM, 16, FALSE) / VLOOKUP("LULUCF|PM25|Work loss days", US_national_yearly!$D:$AM, 10, FALSE), 1)</f>
        <v>3.5834932898671054E-2</v>
      </c>
      <c r="I15" s="7">
        <f>$B15 * IFERROR(VLOOKUP("LULUCF|PM25|Work loss days", US_national_yearly!$D:$AM, 17, FALSE) / VLOOKUP("LULUCF|PM25|Work loss days", US_national_yearly!$D:$AM, 10, FALSE), 1)</f>
        <v>3.6045071208906598E-2</v>
      </c>
      <c r="J15" s="7">
        <f>$B15 * IFERROR(VLOOKUP("LULUCF|PM25|Work loss days", US_national_yearly!$D:$AM, 18, FALSE) / VLOOKUP("LULUCF|PM25|Work loss days", US_national_yearly!$D:$AM, 10, FALSE), 1)</f>
        <v>3.6255209519142143E-2</v>
      </c>
      <c r="K15" s="7">
        <f>$B15 * IFERROR(VLOOKUP("LULUCF|PM25|Work loss days", US_national_yearly!$D:$AM, 19, FALSE) / VLOOKUP("LULUCF|PM25|Work loss days", US_national_yearly!$D:$AM, 10, FALSE), 1)</f>
        <v>3.6465347829377694E-2</v>
      </c>
      <c r="L15" s="7">
        <f>$B15 * IFERROR(VLOOKUP("LULUCF|PM25|Work loss days", US_national_yearly!$D:$AM, 20, FALSE) / VLOOKUP("LULUCF|PM25|Work loss days", US_national_yearly!$D:$AM, 10, FALSE), 1)</f>
        <v>3.6675486139613238E-2</v>
      </c>
      <c r="M15" s="7">
        <f>$B15 * IFERROR(VLOOKUP("LULUCF|PM25|Work loss days", US_national_yearly!$D:$AM, 21, FALSE) / VLOOKUP("LULUCF|PM25|Work loss days", US_national_yearly!$D:$AM, 10, FALSE), 1)</f>
        <v>3.6885624449848782E-2</v>
      </c>
      <c r="N15" s="7">
        <f>$B15 * IFERROR(VLOOKUP("LULUCF|PM25|Work loss days", US_national_yearly!$D:$AM, 22, FALSE) / VLOOKUP("LULUCF|PM25|Work loss days", US_national_yearly!$D:$AM, 10, FALSE), 1)</f>
        <v>3.7150099418396983E-2</v>
      </c>
      <c r="O15" s="7">
        <f>$B15 * IFERROR(VLOOKUP("LULUCF|PM25|Work loss days", US_national_yearly!$D:$AM, 23, FALSE) / VLOOKUP("LULUCF|PM25|Work loss days", US_national_yearly!$D:$AM, 10, FALSE), 1)</f>
        <v>3.7414574386945169E-2</v>
      </c>
      <c r="P15" s="7">
        <f>$B15 * IFERROR(VLOOKUP("LULUCF|PM25|Work loss days", US_national_yearly!$D:$AM, 24, FALSE) / VLOOKUP("LULUCF|PM25|Work loss days", US_national_yearly!$D:$AM, 10, FALSE), 1)</f>
        <v>3.767904935549337E-2</v>
      </c>
      <c r="Q15" s="7">
        <f>$B15 * IFERROR(VLOOKUP("LULUCF|PM25|Work loss days", US_national_yearly!$D:$AM, 25, FALSE) / VLOOKUP("LULUCF|PM25|Work loss days", US_national_yearly!$D:$AM, 10, FALSE), 1)</f>
        <v>3.7943524324041557E-2</v>
      </c>
      <c r="R15" s="7">
        <f>$B15 * IFERROR(VLOOKUP("LULUCF|PM25|Work loss days", US_national_yearly!$D:$AM, 26, FALSE) / VLOOKUP("LULUCF|PM25|Work loss days", US_national_yearly!$D:$AM, 10, FALSE), 1)</f>
        <v>3.8207999292589757E-2</v>
      </c>
      <c r="S15" s="7">
        <f>$B15 * IFERROR(VLOOKUP("LULUCF|PM25|Work loss days", US_national_yearly!$D:$AM, 27, FALSE) / VLOOKUP("LULUCF|PM25|Work loss days", US_national_yearly!$D:$AM, 10, FALSE), 1)</f>
        <v>3.8500519899153721E-2</v>
      </c>
      <c r="T15" s="7">
        <f>$B15 * IFERROR(VLOOKUP("LULUCF|PM25|Work loss days", US_national_yearly!$D:$AM, 28, FALSE) / VLOOKUP("LULUCF|PM25|Work loss days", US_national_yearly!$D:$AM, 10, FALSE), 1)</f>
        <v>3.8793040505717698E-2</v>
      </c>
      <c r="U15" s="7">
        <f>$B15 * IFERROR(VLOOKUP("LULUCF|PM25|Work loss days", US_national_yearly!$D:$AM, 29, FALSE) / VLOOKUP("LULUCF|PM25|Work loss days", US_national_yearly!$D:$AM, 10, FALSE), 1)</f>
        <v>3.9085561112281661E-2</v>
      </c>
      <c r="V15" s="7">
        <f>$B15 * IFERROR(VLOOKUP("LULUCF|PM25|Work loss days", US_national_yearly!$D:$AM, 30, FALSE) / VLOOKUP("LULUCF|PM25|Work loss days", US_national_yearly!$D:$AM, 10, FALSE), 1)</f>
        <v>3.9378081718845631E-2</v>
      </c>
      <c r="W15" s="7">
        <f>$B15 * IFERROR(VLOOKUP("LULUCF|PM25|Work loss days", US_national_yearly!$D:$AM, 31, FALSE) / VLOOKUP("LULUCF|PM25|Work loss days", US_national_yearly!$D:$AM, 10, FALSE), 1)</f>
        <v>3.9670602325409601E-2</v>
      </c>
      <c r="X15" s="7">
        <f>$B15 * IFERROR(VLOOKUP("LULUCF|PM25|Work loss days", US_national_yearly!$D:$AM, 32, FALSE) / VLOOKUP("LULUCF|PM25|Work loss days", US_national_yearly!$D:$AM, 10, FALSE), 1)</f>
        <v>3.9930146997299049E-2</v>
      </c>
      <c r="Y15" s="7">
        <f>$B15 * IFERROR(VLOOKUP("LULUCF|PM25|Work loss days", US_national_yearly!$D:$AM, 33, FALSE) / VLOOKUP("LULUCF|PM25|Work loss days", US_national_yearly!$D:$AM, 10, FALSE), 1)</f>
        <v>4.0189691669188503E-2</v>
      </c>
      <c r="Z15" s="7">
        <f>$B15 * IFERROR(VLOOKUP("LULUCF|PM25|Work loss days", US_national_yearly!$D:$AM, 34, FALSE) / VLOOKUP("LULUCF|PM25|Work loss days", US_national_yearly!$D:$AM, 10, FALSE), 1)</f>
        <v>4.0449236341077964E-2</v>
      </c>
      <c r="AA15" s="7">
        <f>$B15 * IFERROR(VLOOKUP("LULUCF|PM25|Work loss days", US_national_yearly!$D:$AM, 35, FALSE) / VLOOKUP("LULUCF|PM25|Work loss days", US_national_yearly!$D:$AM, 10, FALSE), 1)</f>
        <v>4.0708781012967425E-2</v>
      </c>
      <c r="AB15" s="7">
        <f>$B15 * IFERROR(VLOOKUP("LULUCF|PM25|Work loss days", US_national_yearly!$D:$AM, 36, FALSE) / VLOOKUP("LULUCF|PM25|Work loss days", US_national_yearly!$D:$AM, 10, FALSE), 1)</f>
        <v>4.0968325684856879E-2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7.4434326297881441E-5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7.6658475871972548E-5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7.8882625446063668E-5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8.1106775020154775E-5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8.3330924594245896E-5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8.5461262593614104E-5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8.7591600592982352E-5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8.9413582610286803E-5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9.1235564627591226E-5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9.3057546644895664E-5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9.4879528662200141E-5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9.6701510679504565E-5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9.7916267688719839E-5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9.9131024697935114E-5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1.0034578170715037E-4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1.0156053871636565E-4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1.0277529572558091E-4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1.0341801559446844E-4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1.0406073546335595E-4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1.0470345533224344E-4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1.0534617520113096E-4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1.0598889507001847E-4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1.064215825400715E-4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1.0685427001012452E-4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1.0728695748017754E-4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1.0771964495023057E-4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1.0815233242028359E-4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6.8887573309807447E-4</v>
      </c>
      <c r="C2" s="7">
        <f>$B2 * IFERROR(VLOOKUP("LULUCF|NOx|Premature mortality", US_national_yearly!$D:$AM, 11, FALSE) / VLOOKUP("LULUCF|NOx|Premature mortality", US_national_yearly!$D:$AM, 10, FALSE), 1)</f>
        <v>6.9899415324282271E-4</v>
      </c>
      <c r="D2" s="7">
        <f>$B2 * IFERROR(VLOOKUP("LULUCF|NOx|Premature mortality", US_national_yearly!$D:$AM, 12, FALSE) / VLOOKUP("LULUCF|NOx|Premature mortality", US_national_yearly!$D:$AM, 10, FALSE), 1)</f>
        <v>7.0911257338757085E-4</v>
      </c>
      <c r="E2" s="7">
        <f>$B2 * IFERROR(VLOOKUP("LULUCF|NOx|Premature mortality", US_national_yearly!$D:$AM, 13, FALSE) / VLOOKUP("LULUCF|NOx|Premature mortality", US_national_yearly!$D:$AM, 10, FALSE), 1)</f>
        <v>7.192309935323192E-4</v>
      </c>
      <c r="F2" s="7">
        <f>$B2 * IFERROR(VLOOKUP("LULUCF|NOx|Premature mortality", US_national_yearly!$D:$AM, 14, FALSE) / VLOOKUP("LULUCF|NOx|Premature mortality", US_national_yearly!$D:$AM, 10, FALSE), 1)</f>
        <v>7.2934941367706744E-4</v>
      </c>
      <c r="G2" s="7">
        <f>$B2 * IFERROR(VLOOKUP("LULUCF|NOx|Premature mortality", US_national_yearly!$D:$AM, 15, FALSE) / VLOOKUP("LULUCF|NOx|Premature mortality", US_national_yearly!$D:$AM, 10, FALSE), 1)</f>
        <v>7.4752448849646708E-4</v>
      </c>
      <c r="H2" s="7">
        <f>$B2 * IFERROR(VLOOKUP("LULUCF|NOx|Premature mortality", US_national_yearly!$D:$AM, 16, FALSE) / VLOOKUP("LULUCF|NOx|Premature mortality", US_national_yearly!$D:$AM, 10, FALSE), 1)</f>
        <v>7.6569956331586694E-4</v>
      </c>
      <c r="I2" s="7">
        <f>$B2 * IFERROR(VLOOKUP("LULUCF|NOx|Premature mortality", US_national_yearly!$D:$AM, 17, FALSE) / VLOOKUP("LULUCF|NOx|Premature mortality", US_national_yearly!$D:$AM, 10, FALSE), 1)</f>
        <v>7.7743191886814962E-4</v>
      </c>
      <c r="J2" s="7">
        <f>$B2 * IFERROR(VLOOKUP("LULUCF|NOx|Premature mortality", US_national_yearly!$D:$AM, 18, FALSE) / VLOOKUP("LULUCF|NOx|Premature mortality", US_national_yearly!$D:$AM, 10, FALSE), 1)</f>
        <v>7.8916427442043253E-4</v>
      </c>
      <c r="K2" s="7">
        <f>$B2 * IFERROR(VLOOKUP("LULUCF|NOx|Premature mortality", US_national_yearly!$D:$AM, 19, FALSE) / VLOOKUP("LULUCF|NOx|Premature mortality", US_national_yearly!$D:$AM, 10, FALSE), 1)</f>
        <v>8.0089662997271532E-4</v>
      </c>
      <c r="L2" s="7">
        <f>$B2 * IFERROR(VLOOKUP("LULUCF|NOx|Premature mortality", US_national_yearly!$D:$AM, 20, FALSE) / VLOOKUP("LULUCF|NOx|Premature mortality", US_national_yearly!$D:$AM, 10, FALSE), 1)</f>
        <v>8.1262898552499801E-4</v>
      </c>
      <c r="M2" s="7">
        <f>$B2 * IFERROR(VLOOKUP("LULUCF|NOx|Premature mortality", US_national_yearly!$D:$AM, 21, FALSE) / VLOOKUP("LULUCF|NOx|Premature mortality", US_national_yearly!$D:$AM, 10, FALSE), 1)</f>
        <v>8.2436134107728091E-4</v>
      </c>
      <c r="N2" s="7">
        <f>$B2 * IFERROR(VLOOKUP("LULUCF|NOx|Premature mortality", US_national_yearly!$D:$AM, 22, FALSE) / VLOOKUP("LULUCF|NOx|Premature mortality", US_national_yearly!$D:$AM, 10, FALSE), 1)</f>
        <v>8.3305262446036702E-4</v>
      </c>
      <c r="O2" s="7">
        <f>$B2 * IFERROR(VLOOKUP("LULUCF|NOx|Premature mortality", US_national_yearly!$D:$AM, 23, FALSE) / VLOOKUP("LULUCF|NOx|Premature mortality", US_national_yearly!$D:$AM, 10, FALSE), 1)</f>
        <v>8.4174390784345324E-4</v>
      </c>
      <c r="P2" s="7">
        <f>$B2 * IFERROR(VLOOKUP("LULUCF|NOx|Premature mortality", US_national_yearly!$D:$AM, 24, FALSE) / VLOOKUP("LULUCF|NOx|Premature mortality", US_national_yearly!$D:$AM, 10, FALSE), 1)</f>
        <v>8.5043519122653935E-4</v>
      </c>
      <c r="Q2" s="7">
        <f>$B2 * IFERROR(VLOOKUP("LULUCF|NOx|Premature mortality", US_national_yearly!$D:$AM, 25, FALSE) / VLOOKUP("LULUCF|NOx|Premature mortality", US_national_yearly!$D:$AM, 10, FALSE), 1)</f>
        <v>8.5912647460962568E-4</v>
      </c>
      <c r="R2" s="7">
        <f>$B2 * IFERROR(VLOOKUP("LULUCF|NOx|Premature mortality", US_national_yearly!$D:$AM, 26, FALSE) / VLOOKUP("LULUCF|NOx|Premature mortality", US_national_yearly!$D:$AM, 10, FALSE), 1)</f>
        <v>8.6781775799271189E-4</v>
      </c>
      <c r="S2" s="7">
        <f>$B2 * IFERROR(VLOOKUP("LULUCF|NOx|Premature mortality", US_national_yearly!$D:$AM, 27, FALSE) / VLOOKUP("LULUCF|NOx|Premature mortality", US_national_yearly!$D:$AM, 10, FALSE), 1)</f>
        <v>8.7176803381038513E-4</v>
      </c>
      <c r="T2" s="7">
        <f>$B2 * IFERROR(VLOOKUP("LULUCF|NOx|Premature mortality", US_national_yearly!$D:$AM, 28, FALSE) / VLOOKUP("LULUCF|NOx|Premature mortality", US_national_yearly!$D:$AM, 10, FALSE), 1)</f>
        <v>8.7571830962805859E-4</v>
      </c>
      <c r="U2" s="7">
        <f>$B2 * IFERROR(VLOOKUP("LULUCF|NOx|Premature mortality", US_national_yearly!$D:$AM, 29, FALSE) / VLOOKUP("LULUCF|NOx|Premature mortality", US_national_yearly!$D:$AM, 10, FALSE), 1)</f>
        <v>8.7966858544573183E-4</v>
      </c>
      <c r="V2" s="7">
        <f>$B2 * IFERROR(VLOOKUP("LULUCF|NOx|Premature mortality", US_national_yearly!$D:$AM, 30, FALSE) / VLOOKUP("LULUCF|NOx|Premature mortality", US_national_yearly!$D:$AM, 10, FALSE), 1)</f>
        <v>8.8361886126340507E-4</v>
      </c>
      <c r="W2" s="7">
        <f>$B2 * IFERROR(VLOOKUP("LULUCF|NOx|Premature mortality", US_national_yearly!$D:$AM, 31, FALSE) / VLOOKUP("LULUCF|NOx|Premature mortality", US_national_yearly!$D:$AM, 10, FALSE), 1)</f>
        <v>8.8756913708107842E-4</v>
      </c>
      <c r="X2" s="7">
        <f>$B2 * IFERROR(VLOOKUP("LULUCF|NOx|Premature mortality", US_national_yearly!$D:$AM, 32, FALSE) / VLOOKUP("LULUCF|NOx|Premature mortality", US_national_yearly!$D:$AM, 10, FALSE), 1)</f>
        <v>8.8770597236792622E-4</v>
      </c>
      <c r="Y2" s="7">
        <f>$B2 * IFERROR(VLOOKUP("LULUCF|NOx|Premature mortality", US_national_yearly!$D:$AM, 33, FALSE) / VLOOKUP("LULUCF|NOx|Premature mortality", US_national_yearly!$D:$AM, 10, FALSE), 1)</f>
        <v>8.8784280765477402E-4</v>
      </c>
      <c r="Z2" s="7">
        <f>$B2 * IFERROR(VLOOKUP("LULUCF|NOx|Premature mortality", US_national_yearly!$D:$AM, 34, FALSE) / VLOOKUP("LULUCF|NOx|Premature mortality", US_national_yearly!$D:$AM, 10, FALSE), 1)</f>
        <v>8.879796429416216E-4</v>
      </c>
      <c r="AA2" s="7">
        <f>$B2 * IFERROR(VLOOKUP("LULUCF|NOx|Premature mortality", US_national_yearly!$D:$AM, 35, FALSE) / VLOOKUP("LULUCF|NOx|Premature mortality", US_national_yearly!$D:$AM, 10, FALSE), 1)</f>
        <v>8.8811647822846951E-4</v>
      </c>
      <c r="AB2" s="7">
        <f>$B2 * IFERROR(VLOOKUP("LULUCF|NOx|Premature mortality", US_national_yearly!$D:$AM, 36, FALSE) / VLOOKUP("LULUCF|NOx|Premature mortality", US_national_yearly!$D:$AM, 10, FALSE), 1)</f>
        <v>8.882533135153172E-4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1.9199558438696998E-6</v>
      </c>
      <c r="C3" s="7">
        <f>$B3 * IFERROR(VLOOKUP("LULUCF|NOx|Infant mortality", US_national_yearly!$D:$AM, 11, FALSE) / VLOOKUP("LULUCF|NOx|Infant mortality", US_national_yearly!$D:$AM, 10, FALSE), 1)</f>
        <v>1.9016633720973521E-6</v>
      </c>
      <c r="D3" s="7">
        <f>$B3 * IFERROR(VLOOKUP("LULUCF|NOx|Infant mortality", US_national_yearly!$D:$AM, 12, FALSE) / VLOOKUP("LULUCF|NOx|Infant mortality", US_national_yearly!$D:$AM, 10, FALSE), 1)</f>
        <v>1.8833709003250044E-6</v>
      </c>
      <c r="E3" s="7">
        <f>$B3 * IFERROR(VLOOKUP("LULUCF|NOx|Infant mortality", US_national_yearly!$D:$AM, 13, FALSE) / VLOOKUP("LULUCF|NOx|Infant mortality", US_national_yearly!$D:$AM, 10, FALSE), 1)</f>
        <v>1.8650784285526566E-6</v>
      </c>
      <c r="F3" s="7">
        <f>$B3 * IFERROR(VLOOKUP("LULUCF|NOx|Infant mortality", US_national_yearly!$D:$AM, 14, FALSE) / VLOOKUP("LULUCF|NOx|Infant mortality", US_national_yearly!$D:$AM, 10, FALSE), 1)</f>
        <v>1.8467859567803089E-6</v>
      </c>
      <c r="G3" s="7">
        <f>$B3 * IFERROR(VLOOKUP("LULUCF|NOx|Infant mortality", US_national_yearly!$D:$AM, 15, FALSE) / VLOOKUP("LULUCF|NOx|Infant mortality", US_national_yearly!$D:$AM, 10, FALSE), 1)</f>
        <v>1.2259877142160481E-6</v>
      </c>
      <c r="H3" s="7">
        <f>$B3 * IFERROR(VLOOKUP("LULUCF|NOx|Infant mortality", US_national_yearly!$D:$AM, 16, FALSE) / VLOOKUP("LULUCF|NOx|Infant mortality", US_national_yearly!$D:$AM, 10, FALSE), 1)</f>
        <v>6.0518947165178737E-7</v>
      </c>
      <c r="I3" s="7">
        <f>$B3 * IFERROR(VLOOKUP("LULUCF|NOx|Infant mortality", US_national_yearly!$D:$AM, 17, FALSE) / VLOOKUP("LULUCF|NOx|Infant mortality", US_national_yearly!$D:$AM, 10, FALSE), 1)</f>
        <v>6.0091020424994703E-7</v>
      </c>
      <c r="J3" s="7">
        <f>$B3 * IFERROR(VLOOKUP("LULUCF|NOx|Infant mortality", US_national_yearly!$D:$AM, 18, FALSE) / VLOOKUP("LULUCF|NOx|Infant mortality", US_national_yearly!$D:$AM, 10, FALSE), 1)</f>
        <v>5.9663093684810658E-7</v>
      </c>
      <c r="K3" s="7">
        <f>$B3 * IFERROR(VLOOKUP("LULUCF|NOx|Infant mortality", US_national_yearly!$D:$AM, 19, FALSE) / VLOOKUP("LULUCF|NOx|Infant mortality", US_national_yearly!$D:$AM, 10, FALSE), 1)</f>
        <v>5.9235166944626624E-7</v>
      </c>
      <c r="L3" s="7">
        <f>$B3 * IFERROR(VLOOKUP("LULUCF|NOx|Infant mortality", US_national_yearly!$D:$AM, 20, FALSE) / VLOOKUP("LULUCF|NOx|Infant mortality", US_national_yearly!$D:$AM, 10, FALSE), 1)</f>
        <v>5.880724020444259E-7</v>
      </c>
      <c r="M3" s="7">
        <f>$B3 * IFERROR(VLOOKUP("LULUCF|NOx|Infant mortality", US_national_yearly!$D:$AM, 21, FALSE) / VLOOKUP("LULUCF|NOx|Infant mortality", US_national_yearly!$D:$AM, 10, FALSE), 1)</f>
        <v>5.8379313464258545E-7</v>
      </c>
      <c r="N3" s="7">
        <f>$B3 * IFERROR(VLOOKUP("LULUCF|NOx|Infant mortality", US_national_yearly!$D:$AM, 22, FALSE) / VLOOKUP("LULUCF|NOx|Infant mortality", US_national_yearly!$D:$AM, 10, FALSE), 1)</f>
        <v>5.8095273586804634E-7</v>
      </c>
      <c r="O3" s="7">
        <f>$B3 * IFERROR(VLOOKUP("LULUCF|NOx|Infant mortality", US_national_yearly!$D:$AM, 23, FALSE) / VLOOKUP("LULUCF|NOx|Infant mortality", US_national_yearly!$D:$AM, 10, FALSE), 1)</f>
        <v>5.7811233709350713E-7</v>
      </c>
      <c r="P3" s="7">
        <f>$B3 * IFERROR(VLOOKUP("LULUCF|NOx|Infant mortality", US_national_yearly!$D:$AM, 24, FALSE) / VLOOKUP("LULUCF|NOx|Infant mortality", US_national_yearly!$D:$AM, 10, FALSE), 1)</f>
        <v>5.7527193831896792E-7</v>
      </c>
      <c r="Q3" s="7">
        <f>$B3 * IFERROR(VLOOKUP("LULUCF|NOx|Infant mortality", US_national_yearly!$D:$AM, 25, FALSE) / VLOOKUP("LULUCF|NOx|Infant mortality", US_national_yearly!$D:$AM, 10, FALSE), 1)</f>
        <v>5.724315395444287E-7</v>
      </c>
      <c r="R3" s="7">
        <f>$B3 * IFERROR(VLOOKUP("LULUCF|NOx|Infant mortality", US_national_yearly!$D:$AM, 26, FALSE) / VLOOKUP("LULUCF|NOx|Infant mortality", US_national_yearly!$D:$AM, 10, FALSE), 1)</f>
        <v>5.6959114076988959E-7</v>
      </c>
      <c r="S3" s="7">
        <f>$B3 * IFERROR(VLOOKUP("LULUCF|NOx|Infant mortality", US_national_yearly!$D:$AM, 27, FALSE) / VLOOKUP("LULUCF|NOx|Infant mortality", US_national_yearly!$D:$AM, 10, FALSE), 1)</f>
        <v>5.661765297518137E-7</v>
      </c>
      <c r="T3" s="7">
        <f>$B3 * IFERROR(VLOOKUP("LULUCF|NOx|Infant mortality", US_national_yearly!$D:$AM, 28, FALSE) / VLOOKUP("LULUCF|NOx|Infant mortality", US_national_yearly!$D:$AM, 10, FALSE), 1)</f>
        <v>5.627619187337378E-7</v>
      </c>
      <c r="U3" s="7">
        <f>$B3 * IFERROR(VLOOKUP("LULUCF|NOx|Infant mortality", US_national_yearly!$D:$AM, 29, FALSE) / VLOOKUP("LULUCF|NOx|Infant mortality", US_national_yearly!$D:$AM, 10, FALSE), 1)</f>
        <v>5.5934730771566191E-7</v>
      </c>
      <c r="V3" s="7">
        <f>$B3 * IFERROR(VLOOKUP("LULUCF|NOx|Infant mortality", US_national_yearly!$D:$AM, 30, FALSE) / VLOOKUP("LULUCF|NOx|Infant mortality", US_national_yearly!$D:$AM, 10, FALSE), 1)</f>
        <v>5.5593269669758602E-7</v>
      </c>
      <c r="W3" s="7">
        <f>$B3 * IFERROR(VLOOKUP("LULUCF|NOx|Infant mortality", US_national_yearly!$D:$AM, 31, FALSE) / VLOOKUP("LULUCF|NOx|Infant mortality", US_national_yearly!$D:$AM, 10, FALSE), 1)</f>
        <v>5.5251808567951012E-7</v>
      </c>
      <c r="X3" s="7">
        <f>$B3 * IFERROR(VLOOKUP("LULUCF|NOx|Infant mortality", US_national_yearly!$D:$AM, 32, FALSE) / VLOOKUP("LULUCF|NOx|Infant mortality", US_national_yearly!$D:$AM, 10, FALSE), 1)</f>
        <v>5.4890184748751847E-7</v>
      </c>
      <c r="Y3" s="7">
        <f>$B3 * IFERROR(VLOOKUP("LULUCF|NOx|Infant mortality", US_national_yearly!$D:$AM, 33, FALSE) / VLOOKUP("LULUCF|NOx|Infant mortality", US_national_yearly!$D:$AM, 10, FALSE), 1)</f>
        <v>5.4528560929552661E-7</v>
      </c>
      <c r="Z3" s="7">
        <f>$B3 * IFERROR(VLOOKUP("LULUCF|NOx|Infant mortality", US_national_yearly!$D:$AM, 34, FALSE) / VLOOKUP("LULUCF|NOx|Infant mortality", US_national_yearly!$D:$AM, 10, FALSE), 1)</f>
        <v>5.4166937110353485E-7</v>
      </c>
      <c r="AA3" s="7">
        <f>$B3 * IFERROR(VLOOKUP("LULUCF|NOx|Infant mortality", US_national_yearly!$D:$AM, 35, FALSE) / VLOOKUP("LULUCF|NOx|Infant mortality", US_national_yearly!$D:$AM, 10, FALSE), 1)</f>
        <v>5.3805313291154299E-7</v>
      </c>
      <c r="AB3" s="7">
        <f>$B3 * IFERROR(VLOOKUP("LULUCF|NOx|Infant mortality", US_national_yearly!$D:$AM, 36, FALSE) / VLOOKUP("LULUCF|NOx|Infant mortality", US_national_yearly!$D:$AM, 10, FALSE), 1)</f>
        <v>5.3443689471955123E-7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1.650020654290877E-3</v>
      </c>
      <c r="C6" s="7">
        <f>$B6 * IFERROR(VLOOKUP("LULUCF|NOx|Asthma symptoms cough", US_national_yearly!$D:$AM, 11, FALSE) / VLOOKUP("LULUCF|NOx|Asthma symptoms cough", US_national_yearly!$D:$AM, 10, FALSE), 1)</f>
        <v>1.6725791343120164E-3</v>
      </c>
      <c r="D6" s="7">
        <f>$B6 * IFERROR(VLOOKUP("LULUCF|NOx|Asthma symptoms cough", US_national_yearly!$D:$AM, 12, FALSE) / VLOOKUP("LULUCF|NOx|Asthma symptoms cough", US_national_yearly!$D:$AM, 10, FALSE), 1)</f>
        <v>1.6951376143331559E-3</v>
      </c>
      <c r="E6" s="7">
        <f>$B6 * IFERROR(VLOOKUP("LULUCF|NOx|Asthma symptoms cough", US_national_yearly!$D:$AM, 13, FALSE) / VLOOKUP("LULUCF|NOx|Asthma symptoms cough", US_national_yearly!$D:$AM, 10, FALSE), 1)</f>
        <v>1.7176960943542953E-3</v>
      </c>
      <c r="F6" s="7">
        <f>$B6 * IFERROR(VLOOKUP("LULUCF|NOx|Asthma symptoms cough", US_national_yearly!$D:$AM, 14, FALSE) / VLOOKUP("LULUCF|NOx|Asthma symptoms cough", US_national_yearly!$D:$AM, 10, FALSE), 1)</f>
        <v>1.7402545743754349E-3</v>
      </c>
      <c r="G6" s="7">
        <f>$B6 * IFERROR(VLOOKUP("LULUCF|NOx|Asthma symptoms cough", US_national_yearly!$D:$AM, 15, FALSE) / VLOOKUP("LULUCF|NOx|Asthma symptoms cough", US_national_yearly!$D:$AM, 10, FALSE), 1)</f>
        <v>1.7582643683377022E-3</v>
      </c>
      <c r="H6" s="7">
        <f>$B6 * IFERROR(VLOOKUP("LULUCF|NOx|Asthma symptoms cough", US_national_yearly!$D:$AM, 16, FALSE) / VLOOKUP("LULUCF|NOx|Asthma symptoms cough", US_national_yearly!$D:$AM, 10, FALSE), 1)</f>
        <v>1.7762741622999699E-3</v>
      </c>
      <c r="I6" s="7">
        <f>$B6 * IFERROR(VLOOKUP("LULUCF|NOx|Asthma symptoms cough", US_national_yearly!$D:$AM, 17, FALSE) / VLOOKUP("LULUCF|NOx|Asthma symptoms cough", US_national_yearly!$D:$AM, 10, FALSE), 1)</f>
        <v>1.7824728759182466E-3</v>
      </c>
      <c r="J6" s="7">
        <f>$B6 * IFERROR(VLOOKUP("LULUCF|NOx|Asthma symptoms cough", US_national_yearly!$D:$AM, 18, FALSE) / VLOOKUP("LULUCF|NOx|Asthma symptoms cough", US_national_yearly!$D:$AM, 10, FALSE), 1)</f>
        <v>1.7886715895365237E-3</v>
      </c>
      <c r="K6" s="7">
        <f>$B6 * IFERROR(VLOOKUP("LULUCF|NOx|Asthma symptoms cough", US_national_yearly!$D:$AM, 19, FALSE) / VLOOKUP("LULUCF|NOx|Asthma symptoms cough", US_national_yearly!$D:$AM, 10, FALSE), 1)</f>
        <v>1.7948703031548006E-3</v>
      </c>
      <c r="L6" s="7">
        <f>$B6 * IFERROR(VLOOKUP("LULUCF|NOx|Asthma symptoms cough", US_national_yearly!$D:$AM, 20, FALSE) / VLOOKUP("LULUCF|NOx|Asthma symptoms cough", US_national_yearly!$D:$AM, 10, FALSE), 1)</f>
        <v>1.8010690167730773E-3</v>
      </c>
      <c r="M6" s="7">
        <f>$B6 * IFERROR(VLOOKUP("LULUCF|NOx|Asthma symptoms cough", US_national_yearly!$D:$AM, 21, FALSE) / VLOOKUP("LULUCF|NOx|Asthma symptoms cough", US_national_yearly!$D:$AM, 10, FALSE), 1)</f>
        <v>1.8072677303913544E-3</v>
      </c>
      <c r="N6" s="7">
        <f>$B6 * IFERROR(VLOOKUP("LULUCF|NOx|Asthma symptoms cough", US_national_yearly!$D:$AM, 22, FALSE) / VLOOKUP("LULUCF|NOx|Asthma symptoms cough", US_national_yearly!$D:$AM, 10, FALSE), 1)</f>
        <v>1.8144556004330247E-3</v>
      </c>
      <c r="O6" s="7">
        <f>$B6 * IFERROR(VLOOKUP("LULUCF|NOx|Asthma symptoms cough", US_national_yearly!$D:$AM, 23, FALSE) / VLOOKUP("LULUCF|NOx|Asthma symptoms cough", US_national_yearly!$D:$AM, 10, FALSE), 1)</f>
        <v>1.821643470474695E-3</v>
      </c>
      <c r="P6" s="7">
        <f>$B6 * IFERROR(VLOOKUP("LULUCF|NOx|Asthma symptoms cough", US_national_yearly!$D:$AM, 24, FALSE) / VLOOKUP("LULUCF|NOx|Asthma symptoms cough", US_national_yearly!$D:$AM, 10, FALSE), 1)</f>
        <v>1.8288313405163653E-3</v>
      </c>
      <c r="Q6" s="7">
        <f>$B6 * IFERROR(VLOOKUP("LULUCF|NOx|Asthma symptoms cough", US_national_yearly!$D:$AM, 25, FALSE) / VLOOKUP("LULUCF|NOx|Asthma symptoms cough", US_national_yearly!$D:$AM, 10, FALSE), 1)</f>
        <v>1.836019210558036E-3</v>
      </c>
      <c r="R6" s="7">
        <f>$B6 * IFERROR(VLOOKUP("LULUCF|NOx|Asthma symptoms cough", US_national_yearly!$D:$AM, 26, FALSE) / VLOOKUP("LULUCF|NOx|Asthma symptoms cough", US_national_yearly!$D:$AM, 10, FALSE), 1)</f>
        <v>1.8432070805997063E-3</v>
      </c>
      <c r="S6" s="7">
        <f>$B6 * IFERROR(VLOOKUP("LULUCF|NOx|Asthma symptoms cough", US_national_yearly!$D:$AM, 27, FALSE) / VLOOKUP("LULUCF|NOx|Asthma symptoms cough", US_national_yearly!$D:$AM, 10, FALSE), 1)</f>
        <v>1.8525967281937724E-3</v>
      </c>
      <c r="T6" s="7">
        <f>$B6 * IFERROR(VLOOKUP("LULUCF|NOx|Asthma symptoms cough", US_national_yearly!$D:$AM, 28, FALSE) / VLOOKUP("LULUCF|NOx|Asthma symptoms cough", US_national_yearly!$D:$AM, 10, FALSE), 1)</f>
        <v>1.8619863757878381E-3</v>
      </c>
      <c r="U6" s="7">
        <f>$B6 * IFERROR(VLOOKUP("LULUCF|NOx|Asthma symptoms cough", US_national_yearly!$D:$AM, 29, FALSE) / VLOOKUP("LULUCF|NOx|Asthma symptoms cough", US_national_yearly!$D:$AM, 10, FALSE), 1)</f>
        <v>1.8713760233819033E-3</v>
      </c>
      <c r="V6" s="7">
        <f>$B6 * IFERROR(VLOOKUP("LULUCF|NOx|Asthma symptoms cough", US_national_yearly!$D:$AM, 30, FALSE) / VLOOKUP("LULUCF|NOx|Asthma symptoms cough", US_national_yearly!$D:$AM, 10, FALSE), 1)</f>
        <v>1.8807656709759694E-3</v>
      </c>
      <c r="W6" s="7">
        <f>$B6 * IFERROR(VLOOKUP("LULUCF|NOx|Asthma symptoms cough", US_national_yearly!$D:$AM, 31, FALSE) / VLOOKUP("LULUCF|NOx|Asthma symptoms cough", US_national_yearly!$D:$AM, 10, FALSE), 1)</f>
        <v>1.8901553185700351E-3</v>
      </c>
      <c r="X6" s="7">
        <f>$B6 * IFERROR(VLOOKUP("LULUCF|NOx|Asthma symptoms cough", US_national_yearly!$D:$AM, 32, FALSE) / VLOOKUP("LULUCF|NOx|Asthma symptoms cough", US_national_yearly!$D:$AM, 10, FALSE), 1)</f>
        <v>1.8988796503415794E-3</v>
      </c>
      <c r="Y6" s="7">
        <f>$B6 * IFERROR(VLOOKUP("LULUCF|NOx|Asthma symptoms cough", US_national_yearly!$D:$AM, 33, FALSE) / VLOOKUP("LULUCF|NOx|Asthma symptoms cough", US_national_yearly!$D:$AM, 10, FALSE), 1)</f>
        <v>1.9076039821131236E-3</v>
      </c>
      <c r="Z6" s="7">
        <f>$B6 * IFERROR(VLOOKUP("LULUCF|NOx|Asthma symptoms cough", US_national_yearly!$D:$AM, 34, FALSE) / VLOOKUP("LULUCF|NOx|Asthma symptoms cough", US_national_yearly!$D:$AM, 10, FALSE), 1)</f>
        <v>1.916328313884668E-3</v>
      </c>
      <c r="AA6" s="7">
        <f>$B6 * IFERROR(VLOOKUP("LULUCF|NOx|Asthma symptoms cough", US_national_yearly!$D:$AM, 35, FALSE) / VLOOKUP("LULUCF|NOx|Asthma symptoms cough", US_national_yearly!$D:$AM, 10, FALSE), 1)</f>
        <v>1.9250526456562121E-3</v>
      </c>
      <c r="AB6" s="7">
        <f>$B6 * IFERROR(VLOOKUP("LULUCF|NOx|Asthma symptoms cough", US_national_yearly!$D:$AM, 36, FALSE) / VLOOKUP("LULUCF|NOx|Asthma symptoms cough", US_national_yearly!$D:$AM, 10, FALSE), 1)</f>
        <v>1.9337769774277569E-3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2.2219838234022104E-3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2.2523619750441019E-3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2.2827401266859925E-3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2.313118278327884E-3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2.3434964299697751E-3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2.3677491389748578E-3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2.3920018479799405E-3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2.4003492836672325E-3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2.4086967193545248E-3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2.4170441550418172E-3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2.4253915907291096E-3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2.4337390264164019E-3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2.4434184997393273E-3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2.4530979730622532E-3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2.4627774463851781E-3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2.472456919708104E-3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2.4821363930310294E-3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2.4947808681156144E-3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2.5074253432001998E-3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2.5200698182847843E-3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2.5327142933693689E-3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2.5453587684539539E-3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2.5571073026281195E-3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2.5688558368022855E-3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2.5806043709764516E-3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2.5923529051506177E-3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2.6041014393247833E-3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3.3948447148747728E-3</v>
      </c>
      <c r="C8" s="7">
        <f>$B8 * IFERROR(VLOOKUP("LULUCF|NOx|Asthma symptoms wheeze", US_national_yearly!$D:$AM, 11, FALSE) / VLOOKUP("LULUCF|NOx|Asthma symptoms wheeze", US_national_yearly!$D:$AM, 10, FALSE), 1)</f>
        <v>3.4412577925425122E-3</v>
      </c>
      <c r="D8" s="7">
        <f>$B8 * IFERROR(VLOOKUP("LULUCF|NOx|Asthma symptoms wheeze", US_national_yearly!$D:$AM, 12, FALSE) / VLOOKUP("LULUCF|NOx|Asthma symptoms wheeze", US_national_yearly!$D:$AM, 10, FALSE), 1)</f>
        <v>3.4876708702102533E-3</v>
      </c>
      <c r="E8" s="7">
        <f>$B8 * IFERROR(VLOOKUP("LULUCF|NOx|Asthma symptoms wheeze", US_national_yearly!$D:$AM, 13, FALSE) / VLOOKUP("LULUCF|NOx|Asthma symptoms wheeze", US_national_yearly!$D:$AM, 10, FALSE), 1)</f>
        <v>3.534083947877993E-3</v>
      </c>
      <c r="F8" s="7">
        <f>$B8 * IFERROR(VLOOKUP("LULUCF|NOx|Asthma symptoms wheeze", US_national_yearly!$D:$AM, 14, FALSE) / VLOOKUP("LULUCF|NOx|Asthma symptoms wheeze", US_national_yearly!$D:$AM, 10, FALSE), 1)</f>
        <v>3.5804970255457324E-3</v>
      </c>
      <c r="G8" s="7">
        <f>$B8 * IFERROR(VLOOKUP("LULUCF|NOx|Asthma symptoms wheeze", US_national_yearly!$D:$AM, 15, FALSE) / VLOOKUP("LULUCF|NOx|Asthma symptoms wheeze", US_national_yearly!$D:$AM, 10, FALSE), 1)</f>
        <v>3.6175513823016006E-3</v>
      </c>
      <c r="H8" s="7">
        <f>$B8 * IFERROR(VLOOKUP("LULUCF|NOx|Asthma symptoms wheeze", US_national_yearly!$D:$AM, 16, FALSE) / VLOOKUP("LULUCF|NOx|Asthma symptoms wheeze", US_national_yearly!$D:$AM, 10, FALSE), 1)</f>
        <v>3.6546057390574689E-3</v>
      </c>
      <c r="I8" s="7">
        <f>$B8 * IFERROR(VLOOKUP("LULUCF|NOx|Asthma symptoms wheeze", US_national_yearly!$D:$AM, 17, FALSE) / VLOOKUP("LULUCF|NOx|Asthma symptoms wheeze", US_national_yearly!$D:$AM, 10, FALSE), 1)</f>
        <v>3.6673593189800722E-3</v>
      </c>
      <c r="J8" s="7">
        <f>$B8 * IFERROR(VLOOKUP("LULUCF|NOx|Asthma symptoms wheeze", US_national_yearly!$D:$AM, 18, FALSE) / VLOOKUP("LULUCF|NOx|Asthma symptoms wheeze", US_national_yearly!$D:$AM, 10, FALSE), 1)</f>
        <v>3.6801128989026764E-3</v>
      </c>
      <c r="K8" s="7">
        <f>$B8 * IFERROR(VLOOKUP("LULUCF|NOx|Asthma symptoms wheeze", US_national_yearly!$D:$AM, 19, FALSE) / VLOOKUP("LULUCF|NOx|Asthma symptoms wheeze", US_national_yearly!$D:$AM, 10, FALSE), 1)</f>
        <v>3.6928664788252788E-3</v>
      </c>
      <c r="L8" s="7">
        <f>$B8 * IFERROR(VLOOKUP("LULUCF|NOx|Asthma symptoms wheeze", US_national_yearly!$D:$AM, 20, FALSE) / VLOOKUP("LULUCF|NOx|Asthma symptoms wheeze", US_national_yearly!$D:$AM, 10, FALSE), 1)</f>
        <v>3.705620058747883E-3</v>
      </c>
      <c r="M8" s="7">
        <f>$B8 * IFERROR(VLOOKUP("LULUCF|NOx|Asthma symptoms wheeze", US_national_yearly!$D:$AM, 21, FALSE) / VLOOKUP("LULUCF|NOx|Asthma symptoms wheeze", US_national_yearly!$D:$AM, 10, FALSE), 1)</f>
        <v>3.7183736386704864E-3</v>
      </c>
      <c r="N8" s="7">
        <f>$B8 * IFERROR(VLOOKUP("LULUCF|NOx|Asthma symptoms wheeze", US_national_yearly!$D:$AM, 22, FALSE) / VLOOKUP("LULUCF|NOx|Asthma symptoms wheeze", US_national_yearly!$D:$AM, 10, FALSE), 1)</f>
        <v>3.7331623643209202E-3</v>
      </c>
      <c r="O8" s="7">
        <f>$B8 * IFERROR(VLOOKUP("LULUCF|NOx|Asthma symptoms wheeze", US_national_yearly!$D:$AM, 23, FALSE) / VLOOKUP("LULUCF|NOx|Asthma symptoms wheeze", US_national_yearly!$D:$AM, 10, FALSE), 1)</f>
        <v>3.7479510899713548E-3</v>
      </c>
      <c r="P8" s="7">
        <f>$B8 * IFERROR(VLOOKUP("LULUCF|NOx|Asthma symptoms wheeze", US_national_yearly!$D:$AM, 24, FALSE) / VLOOKUP("LULUCF|NOx|Asthma symptoms wheeze", US_national_yearly!$D:$AM, 10, FALSE), 1)</f>
        <v>3.7627398156217886E-3</v>
      </c>
      <c r="Q8" s="7">
        <f>$B8 * IFERROR(VLOOKUP("LULUCF|NOx|Asthma symptoms wheeze", US_national_yearly!$D:$AM, 25, FALSE) / VLOOKUP("LULUCF|NOx|Asthma symptoms wheeze", US_national_yearly!$D:$AM, 10, FALSE), 1)</f>
        <v>3.7775285412722233E-3</v>
      </c>
      <c r="R8" s="7">
        <f>$B8 * IFERROR(VLOOKUP("LULUCF|NOx|Asthma symptoms wheeze", US_national_yearly!$D:$AM, 26, FALSE) / VLOOKUP("LULUCF|NOx|Asthma symptoms wheeze", US_national_yearly!$D:$AM, 10, FALSE), 1)</f>
        <v>3.7923172669226571E-3</v>
      </c>
      <c r="S8" s="7">
        <f>$B8 * IFERROR(VLOOKUP("LULUCF|NOx|Asthma symptoms wheeze", US_national_yearly!$D:$AM, 27, FALSE) / VLOOKUP("LULUCF|NOx|Asthma symptoms wheeze", US_national_yearly!$D:$AM, 10, FALSE), 1)</f>
        <v>3.8116360527848973E-3</v>
      </c>
      <c r="T8" s="7">
        <f>$B8 * IFERROR(VLOOKUP("LULUCF|NOx|Asthma symptoms wheeze", US_national_yearly!$D:$AM, 28, FALSE) / VLOOKUP("LULUCF|NOx|Asthma symptoms wheeze", US_national_yearly!$D:$AM, 10, FALSE), 1)</f>
        <v>3.8309548386471375E-3</v>
      </c>
      <c r="U8" s="7">
        <f>$B8 * IFERROR(VLOOKUP("LULUCF|NOx|Asthma symptoms wheeze", US_national_yearly!$D:$AM, 29, FALSE) / VLOOKUP("LULUCF|NOx|Asthma symptoms wheeze", US_national_yearly!$D:$AM, 10, FALSE), 1)</f>
        <v>3.8502736245093778E-3</v>
      </c>
      <c r="V8" s="7">
        <f>$B8 * IFERROR(VLOOKUP("LULUCF|NOx|Asthma symptoms wheeze", US_national_yearly!$D:$AM, 30, FALSE) / VLOOKUP("LULUCF|NOx|Asthma symptoms wheeze", US_national_yearly!$D:$AM, 10, FALSE), 1)</f>
        <v>3.8695924103716189E-3</v>
      </c>
      <c r="W8" s="7">
        <f>$B8 * IFERROR(VLOOKUP("LULUCF|NOx|Asthma symptoms wheeze", US_national_yearly!$D:$AM, 31, FALSE) / VLOOKUP("LULUCF|NOx|Asthma symptoms wheeze", US_national_yearly!$D:$AM, 10, FALSE), 1)</f>
        <v>3.8889111962338583E-3</v>
      </c>
      <c r="X8" s="7">
        <f>$B8 * IFERROR(VLOOKUP("LULUCF|NOx|Asthma symptoms wheeze", US_national_yearly!$D:$AM, 32, FALSE) / VLOOKUP("LULUCF|NOx|Asthma symptoms wheeze", US_national_yearly!$D:$AM, 10, FALSE), 1)</f>
        <v>3.9068611241241079E-3</v>
      </c>
      <c r="Y8" s="7">
        <f>$B8 * IFERROR(VLOOKUP("LULUCF|NOx|Asthma symptoms wheeze", US_national_yearly!$D:$AM, 33, FALSE) / VLOOKUP("LULUCF|NOx|Asthma symptoms wheeze", US_national_yearly!$D:$AM, 10, FALSE), 1)</f>
        <v>3.9248110520143575E-3</v>
      </c>
      <c r="Z8" s="7">
        <f>$B8 * IFERROR(VLOOKUP("LULUCF|NOx|Asthma symptoms wheeze", US_national_yearly!$D:$AM, 34, FALSE) / VLOOKUP("LULUCF|NOx|Asthma symptoms wheeze", US_national_yearly!$D:$AM, 10, FALSE), 1)</f>
        <v>3.9427609799046071E-3</v>
      </c>
      <c r="AA8" s="7">
        <f>$B8 * IFERROR(VLOOKUP("LULUCF|NOx|Asthma symptoms wheeze", US_national_yearly!$D:$AM, 35, FALSE) / VLOOKUP("LULUCF|NOx|Asthma symptoms wheeze", US_national_yearly!$D:$AM, 10, FALSE), 1)</f>
        <v>3.9607109077948567E-3</v>
      </c>
      <c r="AB8" s="7">
        <f>$B8 * IFERROR(VLOOKUP("LULUCF|NOx|Asthma symptoms wheeze", US_national_yearly!$D:$AM, 36, FALSE) / VLOOKUP("LULUCF|NOx|Asthma symptoms wheeze", US_national_yearly!$D:$AM, 10, FALSE), 1)</f>
        <v>3.9786608356851072E-3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4.6137910033268342E-5</v>
      </c>
      <c r="C12" s="7">
        <f>$B12 * IFERROR(VLOOKUP("LULUCF|NOx|Respiratory hospital admissions", US_national_yearly!$D:$AM, 11, FALSE) / VLOOKUP("LULUCF|NOx|Respiratory hospital admissions", US_national_yearly!$D:$AM, 10, FALSE), 1)</f>
        <v>4.7288804729126596E-5</v>
      </c>
      <c r="D12" s="7">
        <f>$B12 * IFERROR(VLOOKUP("LULUCF|NOx|Respiratory hospital admissions", US_national_yearly!$D:$AM, 12, FALSE) / VLOOKUP("LULUCF|NOx|Respiratory hospital admissions", US_national_yearly!$D:$AM, 10, FALSE), 1)</f>
        <v>4.8439699424984856E-5</v>
      </c>
      <c r="E12" s="7">
        <f>$B12 * IFERROR(VLOOKUP("LULUCF|NOx|Respiratory hospital admissions", US_national_yearly!$D:$AM, 13, FALSE) / VLOOKUP("LULUCF|NOx|Respiratory hospital admissions", US_national_yearly!$D:$AM, 10, FALSE), 1)</f>
        <v>4.9590594120843117E-5</v>
      </c>
      <c r="F12" s="7">
        <f>$B12 * IFERROR(VLOOKUP("LULUCF|NOx|Respiratory hospital admissions", US_national_yearly!$D:$AM, 14, FALSE) / VLOOKUP("LULUCF|NOx|Respiratory hospital admissions", US_national_yearly!$D:$AM, 10, FALSE), 1)</f>
        <v>5.0741488816701378E-5</v>
      </c>
      <c r="G12" s="7">
        <f>$B12 * IFERROR(VLOOKUP("LULUCF|NOx|Respiratory hospital admissions", US_national_yearly!$D:$AM, 15, FALSE) / VLOOKUP("LULUCF|NOx|Respiratory hospital admissions", US_national_yearly!$D:$AM, 10, FALSE), 1)</f>
        <v>5.1841783317734495E-5</v>
      </c>
      <c r="H12" s="7">
        <f>$B12 * IFERROR(VLOOKUP("LULUCF|NOx|Respiratory hospital admissions", US_national_yearly!$D:$AM, 16, FALSE) / VLOOKUP("LULUCF|NOx|Respiratory hospital admissions", US_national_yearly!$D:$AM, 10, FALSE), 1)</f>
        <v>5.2942077818767613E-5</v>
      </c>
      <c r="I12" s="7">
        <f>$B12 * IFERROR(VLOOKUP("LULUCF|NOx|Respiratory hospital admissions", US_national_yearly!$D:$AM, 17, FALSE) / VLOOKUP("LULUCF|NOx|Respiratory hospital admissions", US_national_yearly!$D:$AM, 10, FALSE), 1)</f>
        <v>5.3876250469910529E-5</v>
      </c>
      <c r="J12" s="7">
        <f>$B12 * IFERROR(VLOOKUP("LULUCF|NOx|Respiratory hospital admissions", US_national_yearly!$D:$AM, 18, FALSE) / VLOOKUP("LULUCF|NOx|Respiratory hospital admissions", US_national_yearly!$D:$AM, 10, FALSE), 1)</f>
        <v>5.4810423121053438E-5</v>
      </c>
      <c r="K12" s="7">
        <f>$B12 * IFERROR(VLOOKUP("LULUCF|NOx|Respiratory hospital admissions", US_national_yearly!$D:$AM, 19, FALSE) / VLOOKUP("LULUCF|NOx|Respiratory hospital admissions", US_national_yearly!$D:$AM, 10, FALSE), 1)</f>
        <v>5.5744595772196354E-5</v>
      </c>
      <c r="L12" s="7">
        <f>$B12 * IFERROR(VLOOKUP("LULUCF|NOx|Respiratory hospital admissions", US_national_yearly!$D:$AM, 20, FALSE) / VLOOKUP("LULUCF|NOx|Respiratory hospital admissions", US_national_yearly!$D:$AM, 10, FALSE), 1)</f>
        <v>5.6678768423339277E-5</v>
      </c>
      <c r="M12" s="7">
        <f>$B12 * IFERROR(VLOOKUP("LULUCF|NOx|Respiratory hospital admissions", US_national_yearly!$D:$AM, 21, FALSE) / VLOOKUP("LULUCF|NOx|Respiratory hospital admissions", US_national_yearly!$D:$AM, 10, FALSE), 1)</f>
        <v>5.7612941074482193E-5</v>
      </c>
      <c r="N12" s="7">
        <f>$B12 * IFERROR(VLOOKUP("LULUCF|NOx|Respiratory hospital admissions", US_national_yearly!$D:$AM, 22, FALSE) / VLOOKUP("LULUCF|NOx|Respiratory hospital admissions", US_national_yearly!$D:$AM, 10, FALSE), 1)</f>
        <v>5.8237452311138174E-5</v>
      </c>
      <c r="O12" s="7">
        <f>$B12 * IFERROR(VLOOKUP("LULUCF|NOx|Respiratory hospital admissions", US_national_yearly!$D:$AM, 23, FALSE) / VLOOKUP("LULUCF|NOx|Respiratory hospital admissions", US_national_yearly!$D:$AM, 10, FALSE), 1)</f>
        <v>5.886196354779417E-5</v>
      </c>
      <c r="P12" s="7">
        <f>$B12 * IFERROR(VLOOKUP("LULUCF|NOx|Respiratory hospital admissions", US_national_yearly!$D:$AM, 24, FALSE) / VLOOKUP("LULUCF|NOx|Respiratory hospital admissions", US_national_yearly!$D:$AM, 10, FALSE), 1)</f>
        <v>5.9486474784450165E-5</v>
      </c>
      <c r="Q12" s="7">
        <f>$B12 * IFERROR(VLOOKUP("LULUCF|NOx|Respiratory hospital admissions", US_national_yearly!$D:$AM, 25, FALSE) / VLOOKUP("LULUCF|NOx|Respiratory hospital admissions", US_national_yearly!$D:$AM, 10, FALSE), 1)</f>
        <v>6.011098602110616E-5</v>
      </c>
      <c r="R12" s="7">
        <f>$B12 * IFERROR(VLOOKUP("LULUCF|NOx|Respiratory hospital admissions", US_national_yearly!$D:$AM, 26, FALSE) / VLOOKUP("LULUCF|NOx|Respiratory hospital admissions", US_national_yearly!$D:$AM, 10, FALSE), 1)</f>
        <v>6.0735497257762148E-5</v>
      </c>
      <c r="S12" s="7">
        <f>$B12 * IFERROR(VLOOKUP("LULUCF|NOx|Respiratory hospital admissions", US_national_yearly!$D:$AM, 27, FALSE) / VLOOKUP("LULUCF|NOx|Respiratory hospital admissions", US_national_yearly!$D:$AM, 10, FALSE), 1)</f>
        <v>6.1070093456068076E-5</v>
      </c>
      <c r="T12" s="7">
        <f>$B12 * IFERROR(VLOOKUP("LULUCF|NOx|Respiratory hospital admissions", US_national_yearly!$D:$AM, 28, FALSE) / VLOOKUP("LULUCF|NOx|Respiratory hospital admissions", US_national_yearly!$D:$AM, 10, FALSE), 1)</f>
        <v>6.1404689654374011E-5</v>
      </c>
      <c r="U12" s="7">
        <f>$B12 * IFERROR(VLOOKUP("LULUCF|NOx|Respiratory hospital admissions", US_national_yearly!$D:$AM, 29, FALSE) / VLOOKUP("LULUCF|NOx|Respiratory hospital admissions", US_national_yearly!$D:$AM, 10, FALSE), 1)</f>
        <v>6.1739285852679946E-5</v>
      </c>
      <c r="V12" s="7">
        <f>$B12 * IFERROR(VLOOKUP("LULUCF|NOx|Respiratory hospital admissions", US_national_yearly!$D:$AM, 30, FALSE) / VLOOKUP("LULUCF|NOx|Respiratory hospital admissions", US_national_yearly!$D:$AM, 10, FALSE), 1)</f>
        <v>6.2073882050985867E-5</v>
      </c>
      <c r="W12" s="7">
        <f>$B12 * IFERROR(VLOOKUP("LULUCF|NOx|Respiratory hospital admissions", US_national_yearly!$D:$AM, 31, FALSE) / VLOOKUP("LULUCF|NOx|Respiratory hospital admissions", US_national_yearly!$D:$AM, 10, FALSE), 1)</f>
        <v>6.2408478249291815E-5</v>
      </c>
      <c r="X12" s="7">
        <f>$B12 * IFERROR(VLOOKUP("LULUCF|NOx|Respiratory hospital admissions", US_national_yearly!$D:$AM, 32, FALSE) / VLOOKUP("LULUCF|NOx|Respiratory hospital admissions", US_national_yearly!$D:$AM, 10, FALSE), 1)</f>
        <v>6.2637131281271936E-5</v>
      </c>
      <c r="Y12" s="7">
        <f>$B12 * IFERROR(VLOOKUP("LULUCF|NOx|Respiratory hospital admissions", US_national_yearly!$D:$AM, 33, FALSE) / VLOOKUP("LULUCF|NOx|Respiratory hospital admissions", US_national_yearly!$D:$AM, 10, FALSE), 1)</f>
        <v>6.2865784313252083E-5</v>
      </c>
      <c r="Z12" s="7">
        <f>$B12 * IFERROR(VLOOKUP("LULUCF|NOx|Respiratory hospital admissions", US_national_yearly!$D:$AM, 34, FALSE) / VLOOKUP("LULUCF|NOx|Respiratory hospital admissions", US_national_yearly!$D:$AM, 10, FALSE), 1)</f>
        <v>6.309443734523223E-5</v>
      </c>
      <c r="AA12" s="7">
        <f>$B12 * IFERROR(VLOOKUP("LULUCF|NOx|Respiratory hospital admissions", US_national_yearly!$D:$AM, 35, FALSE) / VLOOKUP("LULUCF|NOx|Respiratory hospital admissions", US_national_yearly!$D:$AM, 10, FALSE), 1)</f>
        <v>6.3323090377212363E-5</v>
      </c>
      <c r="AB12" s="7">
        <f>$B12 * IFERROR(VLOOKUP("LULUCF|NOx|Respiratory hospital admissions", US_national_yearly!$D:$AM, 36, FALSE) / VLOOKUP("LULUCF|NOx|Respiratory hospital admissions", US_national_yearly!$D:$AM, 10, FALSE), 1)</f>
        <v>6.3551743409192497E-5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2.8818158259639174E-4</v>
      </c>
      <c r="C13" s="7">
        <f>$B13 * IFERROR(VLOOKUP("LULUCF|NOx|Non-fatal heart attacks", US_national_yearly!$D:$AM, 11, FALSE) / VLOOKUP("LULUCF|NOx|Non-fatal heart attacks", US_national_yearly!$D:$AM, 10, FALSE), 1)</f>
        <v>2.9642044013864866E-4</v>
      </c>
      <c r="D13" s="7">
        <f>$B13 * IFERROR(VLOOKUP("LULUCF|NOx|Non-fatal heart attacks", US_national_yearly!$D:$AM, 12, FALSE) / VLOOKUP("LULUCF|NOx|Non-fatal heart attacks", US_national_yearly!$D:$AM, 10, FALSE), 1)</f>
        <v>3.0465929768090552E-4</v>
      </c>
      <c r="E13" s="7">
        <f>$B13 * IFERROR(VLOOKUP("LULUCF|NOx|Non-fatal heart attacks", US_national_yearly!$D:$AM, 13, FALSE) / VLOOKUP("LULUCF|NOx|Non-fatal heart attacks", US_national_yearly!$D:$AM, 10, FALSE), 1)</f>
        <v>3.1289815522316238E-4</v>
      </c>
      <c r="F13" s="7">
        <f>$B13 * IFERROR(VLOOKUP("LULUCF|NOx|Non-fatal heart attacks", US_national_yearly!$D:$AM, 14, FALSE) / VLOOKUP("LULUCF|NOx|Non-fatal heart attacks", US_national_yearly!$D:$AM, 10, FALSE), 1)</f>
        <v>3.2113701276541929E-4</v>
      </c>
      <c r="G13" s="7">
        <f>$B13 * IFERROR(VLOOKUP("LULUCF|NOx|Non-fatal heart attacks", US_national_yearly!$D:$AM, 15, FALSE) / VLOOKUP("LULUCF|NOx|Non-fatal heart attacks", US_national_yearly!$D:$AM, 10, FALSE), 1)</f>
        <v>3.2883620801545251E-4</v>
      </c>
      <c r="H13" s="7">
        <f>$B13 * IFERROR(VLOOKUP("LULUCF|NOx|Non-fatal heart attacks", US_national_yearly!$D:$AM, 16, FALSE) / VLOOKUP("LULUCF|NOx|Non-fatal heart attacks", US_national_yearly!$D:$AM, 10, FALSE), 1)</f>
        <v>3.3653540326548579E-4</v>
      </c>
      <c r="I13" s="7">
        <f>$B13 * IFERROR(VLOOKUP("LULUCF|NOx|Non-fatal heart attacks", US_national_yearly!$D:$AM, 17, FALSE) / VLOOKUP("LULUCF|NOx|Non-fatal heart attacks", US_national_yearly!$D:$AM, 10, FALSE), 1)</f>
        <v>3.4260533861808659E-4</v>
      </c>
      <c r="J13" s="7">
        <f>$B13 * IFERROR(VLOOKUP("LULUCF|NOx|Non-fatal heart attacks", US_national_yearly!$D:$AM, 18, FALSE) / VLOOKUP("LULUCF|NOx|Non-fatal heart attacks", US_national_yearly!$D:$AM, 10, FALSE), 1)</f>
        <v>3.4867527397068745E-4</v>
      </c>
      <c r="K13" s="7">
        <f>$B13 * IFERROR(VLOOKUP("LULUCF|NOx|Non-fatal heart attacks", US_national_yearly!$D:$AM, 19, FALSE) / VLOOKUP("LULUCF|NOx|Non-fatal heart attacks", US_national_yearly!$D:$AM, 10, FALSE), 1)</f>
        <v>3.5474520932328809E-4</v>
      </c>
      <c r="L13" s="7">
        <f>$B13 * IFERROR(VLOOKUP("LULUCF|NOx|Non-fatal heart attacks", US_national_yearly!$D:$AM, 20, FALSE) / VLOOKUP("LULUCF|NOx|Non-fatal heart attacks", US_national_yearly!$D:$AM, 10, FALSE), 1)</f>
        <v>3.6081514467588917E-4</v>
      </c>
      <c r="M13" s="7">
        <f>$B13 * IFERROR(VLOOKUP("LULUCF|NOx|Non-fatal heart attacks", US_national_yearly!$D:$AM, 21, FALSE) / VLOOKUP("LULUCF|NOx|Non-fatal heart attacks", US_national_yearly!$D:$AM, 10, FALSE), 1)</f>
        <v>3.6688508002848992E-4</v>
      </c>
      <c r="N13" s="7">
        <f>$B13 * IFERROR(VLOOKUP("LULUCF|NOx|Non-fatal heart attacks", US_national_yearly!$D:$AM, 22, FALSE) / VLOOKUP("LULUCF|NOx|Non-fatal heart attacks", US_national_yearly!$D:$AM, 10, FALSE), 1)</f>
        <v>3.7053693721698087E-4</v>
      </c>
      <c r="O13" s="7">
        <f>$B13 * IFERROR(VLOOKUP("LULUCF|NOx|Non-fatal heart attacks", US_national_yearly!$D:$AM, 23, FALSE) / VLOOKUP("LULUCF|NOx|Non-fatal heart attacks", US_national_yearly!$D:$AM, 10, FALSE), 1)</f>
        <v>3.7418879440547187E-4</v>
      </c>
      <c r="P13" s="7">
        <f>$B13 * IFERROR(VLOOKUP("LULUCF|NOx|Non-fatal heart attacks", US_national_yearly!$D:$AM, 24, FALSE) / VLOOKUP("LULUCF|NOx|Non-fatal heart attacks", US_national_yearly!$D:$AM, 10, FALSE), 1)</f>
        <v>3.7784065159396281E-4</v>
      </c>
      <c r="Q13" s="7">
        <f>$B13 * IFERROR(VLOOKUP("LULUCF|NOx|Non-fatal heart attacks", US_national_yearly!$D:$AM, 25, FALSE) / VLOOKUP("LULUCF|NOx|Non-fatal heart attacks", US_national_yearly!$D:$AM, 10, FALSE), 1)</f>
        <v>3.8149250878245387E-4</v>
      </c>
      <c r="R13" s="7">
        <f>$B13 * IFERROR(VLOOKUP("LULUCF|NOx|Non-fatal heart attacks", US_national_yearly!$D:$AM, 26, FALSE) / VLOOKUP("LULUCF|NOx|Non-fatal heart attacks", US_national_yearly!$D:$AM, 10, FALSE), 1)</f>
        <v>3.8514436597094487E-4</v>
      </c>
      <c r="S13" s="7">
        <f>$B13 * IFERROR(VLOOKUP("LULUCF|NOx|Non-fatal heart attacks", US_national_yearly!$D:$AM, 27, FALSE) / VLOOKUP("LULUCF|NOx|Non-fatal heart attacks", US_national_yearly!$D:$AM, 10, FALSE), 1)</f>
        <v>3.8680087364924721E-4</v>
      </c>
      <c r="T13" s="7">
        <f>$B13 * IFERROR(VLOOKUP("LULUCF|NOx|Non-fatal heart attacks", US_national_yearly!$D:$AM, 28, FALSE) / VLOOKUP("LULUCF|NOx|Non-fatal heart attacks", US_national_yearly!$D:$AM, 10, FALSE), 1)</f>
        <v>3.884573813275496E-4</v>
      </c>
      <c r="U13" s="7">
        <f>$B13 * IFERROR(VLOOKUP("LULUCF|NOx|Non-fatal heart attacks", US_national_yearly!$D:$AM, 29, FALSE) / VLOOKUP("LULUCF|NOx|Non-fatal heart attacks", US_national_yearly!$D:$AM, 10, FALSE), 1)</f>
        <v>3.9011388900585194E-4</v>
      </c>
      <c r="V13" s="7">
        <f>$B13 * IFERROR(VLOOKUP("LULUCF|NOx|Non-fatal heart attacks", US_national_yearly!$D:$AM, 30, FALSE) / VLOOKUP("LULUCF|NOx|Non-fatal heart attacks", US_national_yearly!$D:$AM, 10, FALSE), 1)</f>
        <v>3.9177039668415433E-4</v>
      </c>
      <c r="W13" s="7">
        <f>$B13 * IFERROR(VLOOKUP("LULUCF|NOx|Non-fatal heart attacks", US_national_yearly!$D:$AM, 31, FALSE) / VLOOKUP("LULUCF|NOx|Non-fatal heart attacks", US_national_yearly!$D:$AM, 10, FALSE), 1)</f>
        <v>3.9342690436245666E-4</v>
      </c>
      <c r="X13" s="7">
        <f>$B13 * IFERROR(VLOOKUP("LULUCF|NOx|Non-fatal heart attacks", US_national_yearly!$D:$AM, 32, FALSE) / VLOOKUP("LULUCF|NOx|Non-fatal heart attacks", US_national_yearly!$D:$AM, 10, FALSE), 1)</f>
        <v>3.94533869955568E-4</v>
      </c>
      <c r="Y13" s="7">
        <f>$B13 * IFERROR(VLOOKUP("LULUCF|NOx|Non-fatal heart attacks", US_national_yearly!$D:$AM, 33, FALSE) / VLOOKUP("LULUCF|NOx|Non-fatal heart attacks", US_national_yearly!$D:$AM, 10, FALSE), 1)</f>
        <v>3.9564083554867945E-4</v>
      </c>
      <c r="Z13" s="7">
        <f>$B13 * IFERROR(VLOOKUP("LULUCF|NOx|Non-fatal heart attacks", US_national_yearly!$D:$AM, 34, FALSE) / VLOOKUP("LULUCF|NOx|Non-fatal heart attacks", US_national_yearly!$D:$AM, 10, FALSE), 1)</f>
        <v>3.9674780114179074E-4</v>
      </c>
      <c r="AA13" s="7">
        <f>$B13 * IFERROR(VLOOKUP("LULUCF|NOx|Non-fatal heart attacks", US_national_yearly!$D:$AM, 35, FALSE) / VLOOKUP("LULUCF|NOx|Non-fatal heart attacks", US_national_yearly!$D:$AM, 10, FALSE), 1)</f>
        <v>3.9785476673490208E-4</v>
      </c>
      <c r="AB13" s="7">
        <f>$B13 * IFERROR(VLOOKUP("LULUCF|NOx|Non-fatal heart attacks", US_national_yearly!$D:$AM, 36, FALSE) / VLOOKUP("LULUCF|NOx|Non-fatal heart attacks", US_national_yearly!$D:$AM, 10, FALSE), 1)</f>
        <v>3.9896173232801353E-4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0.20792760165237026</v>
      </c>
      <c r="C14" s="7">
        <f>$B14 * IFERROR(VLOOKUP("LULUCF|NOx|Minor restricted activity days", US_national_yearly!$D:$AM, 11, FALSE) / VLOOKUP("LULUCF|NOx|Minor restricted activity days", US_national_yearly!$D:$AM, 10, FALSE), 1)</f>
        <v>0.20824638955982699</v>
      </c>
      <c r="D14" s="7">
        <f>$B14 * IFERROR(VLOOKUP("LULUCF|NOx|Minor restricted activity days", US_national_yearly!$D:$AM, 12, FALSE) / VLOOKUP("LULUCF|NOx|Minor restricted activity days", US_national_yearly!$D:$AM, 10, FALSE), 1)</f>
        <v>0.20856517746728379</v>
      </c>
      <c r="E14" s="7">
        <f>$B14 * IFERROR(VLOOKUP("LULUCF|NOx|Minor restricted activity days", US_national_yearly!$D:$AM, 13, FALSE) / VLOOKUP("LULUCF|NOx|Minor restricted activity days", US_national_yearly!$D:$AM, 10, FALSE), 1)</f>
        <v>0.20888396537474058</v>
      </c>
      <c r="F14" s="7">
        <f>$B14 * IFERROR(VLOOKUP("LULUCF|NOx|Minor restricted activity days", US_national_yearly!$D:$AM, 14, FALSE) / VLOOKUP("LULUCF|NOx|Minor restricted activity days", US_national_yearly!$D:$AM, 10, FALSE), 1)</f>
        <v>0.20920275328219731</v>
      </c>
      <c r="G14" s="7">
        <f>$B14 * IFERROR(VLOOKUP("LULUCF|NOx|Minor restricted activity days", US_national_yearly!$D:$AM, 15, FALSE) / VLOOKUP("LULUCF|NOx|Minor restricted activity days", US_national_yearly!$D:$AM, 10, FALSE), 1)</f>
        <v>0.20977840836502215</v>
      </c>
      <c r="H14" s="7">
        <f>$B14 * IFERROR(VLOOKUP("LULUCF|NOx|Minor restricted activity days", US_national_yearly!$D:$AM, 16, FALSE) / VLOOKUP("LULUCF|NOx|Minor restricted activity days", US_national_yearly!$D:$AM, 10, FALSE), 1)</f>
        <v>0.21035406344784693</v>
      </c>
      <c r="I14" s="7">
        <f>$B14 * IFERROR(VLOOKUP("LULUCF|NOx|Minor restricted activity days", US_national_yearly!$D:$AM, 17, FALSE) / VLOOKUP("LULUCF|NOx|Minor restricted activity days", US_national_yearly!$D:$AM, 10, FALSE), 1)</f>
        <v>0.21148002202609481</v>
      </c>
      <c r="J14" s="7">
        <f>$B14 * IFERROR(VLOOKUP("LULUCF|NOx|Minor restricted activity days", US_national_yearly!$D:$AM, 18, FALSE) / VLOOKUP("LULUCF|NOx|Minor restricted activity days", US_national_yearly!$D:$AM, 10, FALSE), 1)</f>
        <v>0.21260598060434266</v>
      </c>
      <c r="K14" s="7">
        <f>$B14 * IFERROR(VLOOKUP("LULUCF|NOx|Minor restricted activity days", US_national_yearly!$D:$AM, 19, FALSE) / VLOOKUP("LULUCF|NOx|Minor restricted activity days", US_national_yearly!$D:$AM, 10, FALSE), 1)</f>
        <v>0.21373193918259056</v>
      </c>
      <c r="L14" s="7">
        <f>$B14 * IFERROR(VLOOKUP("LULUCF|NOx|Minor restricted activity days", US_national_yearly!$D:$AM, 20, FALSE) / VLOOKUP("LULUCF|NOx|Minor restricted activity days", US_national_yearly!$D:$AM, 10, FALSE), 1)</f>
        <v>0.21485789776083841</v>
      </c>
      <c r="M14" s="7">
        <f>$B14 * IFERROR(VLOOKUP("LULUCF|NOx|Minor restricted activity days", US_national_yearly!$D:$AM, 21, FALSE) / VLOOKUP("LULUCF|NOx|Minor restricted activity days", US_national_yearly!$D:$AM, 10, FALSE), 1)</f>
        <v>0.21598385633908632</v>
      </c>
      <c r="N14" s="7">
        <f>$B14 * IFERROR(VLOOKUP("LULUCF|NOx|Minor restricted activity days", US_national_yearly!$D:$AM, 22, FALSE) / VLOOKUP("LULUCF|NOx|Minor restricted activity days", US_national_yearly!$D:$AM, 10, FALSE), 1)</f>
        <v>0.21759597371755943</v>
      </c>
      <c r="O14" s="7">
        <f>$B14 * IFERROR(VLOOKUP("LULUCF|NOx|Minor restricted activity days", US_national_yearly!$D:$AM, 23, FALSE) / VLOOKUP("LULUCF|NOx|Minor restricted activity days", US_national_yearly!$D:$AM, 10, FALSE), 1)</f>
        <v>0.21920809109603256</v>
      </c>
      <c r="P14" s="7">
        <f>$B14 * IFERROR(VLOOKUP("LULUCF|NOx|Minor restricted activity days", US_national_yearly!$D:$AM, 24, FALSE) / VLOOKUP("LULUCF|NOx|Minor restricted activity days", US_national_yearly!$D:$AM, 10, FALSE), 1)</f>
        <v>0.22082020847450567</v>
      </c>
      <c r="Q14" s="7">
        <f>$B14 * IFERROR(VLOOKUP("LULUCF|NOx|Minor restricted activity days", US_national_yearly!$D:$AM, 25, FALSE) / VLOOKUP("LULUCF|NOx|Minor restricted activity days", US_national_yearly!$D:$AM, 10, FALSE), 1)</f>
        <v>0.22243232585297881</v>
      </c>
      <c r="R14" s="7">
        <f>$B14 * IFERROR(VLOOKUP("LULUCF|NOx|Minor restricted activity days", US_national_yearly!$D:$AM, 26, FALSE) / VLOOKUP("LULUCF|NOx|Minor restricted activity days", US_national_yearly!$D:$AM, 10, FALSE), 1)</f>
        <v>0.22404444323145195</v>
      </c>
      <c r="S14" s="7">
        <f>$B14 * IFERROR(VLOOKUP("LULUCF|NOx|Minor restricted activity days", US_national_yearly!$D:$AM, 27, FALSE) / VLOOKUP("LULUCF|NOx|Minor restricted activity days", US_national_yearly!$D:$AM, 10, FALSE), 1)</f>
        <v>0.22565622166569674</v>
      </c>
      <c r="T14" s="7">
        <f>$B14 * IFERROR(VLOOKUP("LULUCF|NOx|Minor restricted activity days", US_national_yearly!$D:$AM, 28, FALSE) / VLOOKUP("LULUCF|NOx|Minor restricted activity days", US_national_yearly!$D:$AM, 10, FALSE), 1)</f>
        <v>0.22726800009994147</v>
      </c>
      <c r="U14" s="7">
        <f>$B14 * IFERROR(VLOOKUP("LULUCF|NOx|Minor restricted activity days", US_national_yearly!$D:$AM, 29, FALSE) / VLOOKUP("LULUCF|NOx|Minor restricted activity days", US_national_yearly!$D:$AM, 10, FALSE), 1)</f>
        <v>0.22887977853418626</v>
      </c>
      <c r="V14" s="7">
        <f>$B14 * IFERROR(VLOOKUP("LULUCF|NOx|Minor restricted activity days", US_national_yearly!$D:$AM, 30, FALSE) / VLOOKUP("LULUCF|NOx|Minor restricted activity days", US_national_yearly!$D:$AM, 10, FALSE), 1)</f>
        <v>0.23049155696843104</v>
      </c>
      <c r="W14" s="7">
        <f>$B14 * IFERROR(VLOOKUP("LULUCF|NOx|Minor restricted activity days", US_national_yearly!$D:$AM, 31, FALSE) / VLOOKUP("LULUCF|NOx|Minor restricted activity days", US_national_yearly!$D:$AM, 10, FALSE), 1)</f>
        <v>0.2321033354026758</v>
      </c>
      <c r="X14" s="7">
        <f>$B14 * IFERROR(VLOOKUP("LULUCF|NOx|Minor restricted activity days", US_national_yearly!$D:$AM, 32, FALSE) / VLOOKUP("LULUCF|NOx|Minor restricted activity days", US_national_yearly!$D:$AM, 10, FALSE), 1)</f>
        <v>0.23346603266679275</v>
      </c>
      <c r="Y14" s="7">
        <f>$B14 * IFERROR(VLOOKUP("LULUCF|NOx|Minor restricted activity days", US_national_yearly!$D:$AM, 33, FALSE) / VLOOKUP("LULUCF|NOx|Minor restricted activity days", US_national_yearly!$D:$AM, 10, FALSE), 1)</f>
        <v>0.23482872993090967</v>
      </c>
      <c r="Z14" s="7">
        <f>$B14 * IFERROR(VLOOKUP("LULUCF|NOx|Minor restricted activity days", US_national_yearly!$D:$AM, 34, FALSE) / VLOOKUP("LULUCF|NOx|Minor restricted activity days", US_national_yearly!$D:$AM, 10, FALSE), 1)</f>
        <v>0.23619142719502662</v>
      </c>
      <c r="AA14" s="7">
        <f>$B14 * IFERROR(VLOOKUP("LULUCF|NOx|Minor restricted activity days", US_national_yearly!$D:$AM, 35, FALSE) / VLOOKUP("LULUCF|NOx|Minor restricted activity days", US_national_yearly!$D:$AM, 10, FALSE), 1)</f>
        <v>0.23755412445914356</v>
      </c>
      <c r="AB14" s="7">
        <f>$B14 * IFERROR(VLOOKUP("LULUCF|NOx|Minor restricted activity days", US_national_yearly!$D:$AM, 36, FALSE) / VLOOKUP("LULUCF|NOx|Minor restricted activity days", US_national_yearly!$D:$AM, 10, FALSE), 1)</f>
        <v>0.23891682172326051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3.511417201134532E-2</v>
      </c>
      <c r="C15" s="7">
        <f>$B15 * IFERROR(VLOOKUP("LULUCF|NOx|Work loss days", US_national_yearly!$D:$AM, 11, FALSE) / VLOOKUP("LULUCF|NOx|Work loss days", US_national_yearly!$D:$AM, 10, FALSE), 1)</f>
        <v>3.5192281597961429E-2</v>
      </c>
      <c r="D15" s="7">
        <f>$B15 * IFERROR(VLOOKUP("LULUCF|NOx|Work loss days", US_national_yearly!$D:$AM, 12, FALSE) / VLOOKUP("LULUCF|NOx|Work loss days", US_national_yearly!$D:$AM, 10, FALSE), 1)</f>
        <v>3.5270391184577546E-2</v>
      </c>
      <c r="E15" s="7">
        <f>$B15 * IFERROR(VLOOKUP("LULUCF|NOx|Work loss days", US_national_yearly!$D:$AM, 13, FALSE) / VLOOKUP("LULUCF|NOx|Work loss days", US_national_yearly!$D:$AM, 10, FALSE), 1)</f>
        <v>3.5348500771193656E-2</v>
      </c>
      <c r="F15" s="7">
        <f>$B15 * IFERROR(VLOOKUP("LULUCF|NOx|Work loss days", US_national_yearly!$D:$AM, 14, FALSE) / VLOOKUP("LULUCF|NOx|Work loss days", US_national_yearly!$D:$AM, 10, FALSE), 1)</f>
        <v>3.5426610357809772E-2</v>
      </c>
      <c r="G15" s="7">
        <f>$B15 * IFERROR(VLOOKUP("LULUCF|NOx|Work loss days", US_national_yearly!$D:$AM, 15, FALSE) / VLOOKUP("LULUCF|NOx|Work loss days", US_national_yearly!$D:$AM, 10, FALSE), 1)</f>
        <v>3.5540651020578753E-2</v>
      </c>
      <c r="H15" s="7">
        <f>$B15 * IFERROR(VLOOKUP("LULUCF|NOx|Work loss days", US_national_yearly!$D:$AM, 16, FALSE) / VLOOKUP("LULUCF|NOx|Work loss days", US_national_yearly!$D:$AM, 10, FALSE), 1)</f>
        <v>3.5654691683347735E-2</v>
      </c>
      <c r="I15" s="7">
        <f>$B15 * IFERROR(VLOOKUP("LULUCF|NOx|Work loss days", US_national_yearly!$D:$AM, 17, FALSE) / VLOOKUP("LULUCF|NOx|Work loss days", US_national_yearly!$D:$AM, 10, FALSE), 1)</f>
        <v>3.5839431376461013E-2</v>
      </c>
      <c r="J15" s="7">
        <f>$B15 * IFERROR(VLOOKUP("LULUCF|NOx|Work loss days", US_national_yearly!$D:$AM, 18, FALSE) / VLOOKUP("LULUCF|NOx|Work loss days", US_national_yearly!$D:$AM, 10, FALSE), 1)</f>
        <v>3.6024171069574291E-2</v>
      </c>
      <c r="K15" s="7">
        <f>$B15 * IFERROR(VLOOKUP("LULUCF|NOx|Work loss days", US_national_yearly!$D:$AM, 19, FALSE) / VLOOKUP("LULUCF|NOx|Work loss days", US_national_yearly!$D:$AM, 10, FALSE), 1)</f>
        <v>3.620891076268757E-2</v>
      </c>
      <c r="L15" s="7">
        <f>$B15 * IFERROR(VLOOKUP("LULUCF|NOx|Work loss days", US_national_yearly!$D:$AM, 20, FALSE) / VLOOKUP("LULUCF|NOx|Work loss days", US_national_yearly!$D:$AM, 10, FALSE), 1)</f>
        <v>3.6393650455800841E-2</v>
      </c>
      <c r="M15" s="7">
        <f>$B15 * IFERROR(VLOOKUP("LULUCF|NOx|Work loss days", US_national_yearly!$D:$AM, 21, FALSE) / VLOOKUP("LULUCF|NOx|Work loss days", US_national_yearly!$D:$AM, 10, FALSE), 1)</f>
        <v>3.6578390148914126E-2</v>
      </c>
      <c r="N15" s="7">
        <f>$B15 * IFERROR(VLOOKUP("LULUCF|NOx|Work loss days", US_national_yearly!$D:$AM, 22, FALSE) / VLOOKUP("LULUCF|NOx|Work loss days", US_national_yearly!$D:$AM, 10, FALSE), 1)</f>
        <v>3.681881752336854E-2</v>
      </c>
      <c r="O15" s="7">
        <f>$B15 * IFERROR(VLOOKUP("LULUCF|NOx|Work loss days", US_national_yearly!$D:$AM, 23, FALSE) / VLOOKUP("LULUCF|NOx|Work loss days", US_national_yearly!$D:$AM, 10, FALSE), 1)</f>
        <v>3.7059244897822953E-2</v>
      </c>
      <c r="P15" s="7">
        <f>$B15 * IFERROR(VLOOKUP("LULUCF|NOx|Work loss days", US_national_yearly!$D:$AM, 24, FALSE) / VLOOKUP("LULUCF|NOx|Work loss days", US_national_yearly!$D:$AM, 10, FALSE), 1)</f>
        <v>3.7299672272277366E-2</v>
      </c>
      <c r="Q15" s="7">
        <f>$B15 * IFERROR(VLOOKUP("LULUCF|NOx|Work loss days", US_national_yearly!$D:$AM, 25, FALSE) / VLOOKUP("LULUCF|NOx|Work loss days", US_national_yearly!$D:$AM, 10, FALSE), 1)</f>
        <v>3.7540099646731773E-2</v>
      </c>
      <c r="R15" s="7">
        <f>$B15 * IFERROR(VLOOKUP("LULUCF|NOx|Work loss days", US_national_yearly!$D:$AM, 26, FALSE) / VLOOKUP("LULUCF|NOx|Work loss days", US_national_yearly!$D:$AM, 10, FALSE), 1)</f>
        <v>3.7780527021186193E-2</v>
      </c>
      <c r="S15" s="7">
        <f>$B15 * IFERROR(VLOOKUP("LULUCF|NOx|Work loss days", US_national_yearly!$D:$AM, 27, FALSE) / VLOOKUP("LULUCF|NOx|Work loss days", US_national_yearly!$D:$AM, 10, FALSE), 1)</f>
        <v>3.8048572802176786E-2</v>
      </c>
      <c r="T15" s="7">
        <f>$B15 * IFERROR(VLOOKUP("LULUCF|NOx|Work loss days", US_national_yearly!$D:$AM, 28, FALSE) / VLOOKUP("LULUCF|NOx|Work loss days", US_national_yearly!$D:$AM, 10, FALSE), 1)</f>
        <v>3.8316618583167379E-2</v>
      </c>
      <c r="U15" s="7">
        <f>$B15 * IFERROR(VLOOKUP("LULUCF|NOx|Work loss days", US_national_yearly!$D:$AM, 29, FALSE) / VLOOKUP("LULUCF|NOx|Work loss days", US_national_yearly!$D:$AM, 10, FALSE), 1)</f>
        <v>3.8584664364157958E-2</v>
      </c>
      <c r="V15" s="7">
        <f>$B15 * IFERROR(VLOOKUP("LULUCF|NOx|Work loss days", US_national_yearly!$D:$AM, 30, FALSE) / VLOOKUP("LULUCF|NOx|Work loss days", US_national_yearly!$D:$AM, 10, FALSE), 1)</f>
        <v>3.8852710145148552E-2</v>
      </c>
      <c r="W15" s="7">
        <f>$B15 * IFERROR(VLOOKUP("LULUCF|NOx|Work loss days", US_national_yearly!$D:$AM, 31, FALSE) / VLOOKUP("LULUCF|NOx|Work loss days", US_national_yearly!$D:$AM, 10, FALSE), 1)</f>
        <v>3.9120755926139145E-2</v>
      </c>
      <c r="X15" s="7">
        <f>$B15 * IFERROR(VLOOKUP("LULUCF|NOx|Work loss days", US_national_yearly!$D:$AM, 32, FALSE) / VLOOKUP("LULUCF|NOx|Work loss days", US_national_yearly!$D:$AM, 10, FALSE), 1)</f>
        <v>3.9353405372711613E-2</v>
      </c>
      <c r="Y15" s="7">
        <f>$B15 * IFERROR(VLOOKUP("LULUCF|NOx|Work loss days", US_national_yearly!$D:$AM, 33, FALSE) / VLOOKUP("LULUCF|NOx|Work loss days", US_national_yearly!$D:$AM, 10, FALSE), 1)</f>
        <v>3.9586054819284074E-2</v>
      </c>
      <c r="Z15" s="7">
        <f>$B15 * IFERROR(VLOOKUP("LULUCF|NOx|Work loss days", US_national_yearly!$D:$AM, 34, FALSE) / VLOOKUP("LULUCF|NOx|Work loss days", US_national_yearly!$D:$AM, 10, FALSE), 1)</f>
        <v>3.9818704265856542E-2</v>
      </c>
      <c r="AA15" s="7">
        <f>$B15 * IFERROR(VLOOKUP("LULUCF|NOx|Work loss days", US_national_yearly!$D:$AM, 35, FALSE) / VLOOKUP("LULUCF|NOx|Work loss days", US_national_yearly!$D:$AM, 10, FALSE), 1)</f>
        <v>4.0051353712429003E-2</v>
      </c>
      <c r="AB15" s="7">
        <f>$B15 * IFERROR(VLOOKUP("LULUCF|NOx|Work loss days", US_national_yearly!$D:$AM, 36, FALSE) / VLOOKUP("LULUCF|NOx|Work loss days", US_national_yearly!$D:$AM, 10, FALSE), 1)</f>
        <v>4.028400315900147E-2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7.4434326297881441E-5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7.6621551563211171E-5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7.8808776828540901E-5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8.0996002093870618E-5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8.3183227359200361E-5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8.5260729649763495E-5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8.7338231940326655E-5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8.9085251096434706E-5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9.0832270252542757E-5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9.2579289408650808E-5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9.4326308564758859E-5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9.6073327720866937E-5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9.7165796686286856E-5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9.8258265651706802E-5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9.9350734617126735E-5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1.0044320358254667E-4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1.015356725479666E-4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1.0203413613716478E-4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1.0253259972636296E-4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1.0303106331556112E-4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1.035295269047593E-4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1.0402799049395748E-4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1.0430540276288691E-4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1.0458281503181635E-4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1.0486022730074578E-4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1.0513763956967522E-4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1.0541505183860466E-4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6.8887573309807447E-4</v>
      </c>
      <c r="C2" s="7">
        <f>$B2 * IFERROR(VLOOKUP("LULUCF|SO2|Premature mortality", US_national_yearly!$D:$AM, 11, FALSE) / VLOOKUP("LULUCF|SO2|Premature mortality", US_national_yearly!$D:$AM, 10, FALSE), 1)</f>
        <v>6.9759997153160508E-4</v>
      </c>
      <c r="D2" s="7">
        <f>$B2 * IFERROR(VLOOKUP("LULUCF|SO2|Premature mortality", US_national_yearly!$D:$AM, 12, FALSE) / VLOOKUP("LULUCF|SO2|Premature mortality", US_national_yearly!$D:$AM, 10, FALSE), 1)</f>
        <v>7.0632420996513592E-4</v>
      </c>
      <c r="E2" s="7">
        <f>$B2 * IFERROR(VLOOKUP("LULUCF|SO2|Premature mortality", US_national_yearly!$D:$AM, 13, FALSE) / VLOOKUP("LULUCF|SO2|Premature mortality", US_national_yearly!$D:$AM, 10, FALSE), 1)</f>
        <v>7.1504844839866653E-4</v>
      </c>
      <c r="F2" s="7">
        <f>$B2 * IFERROR(VLOOKUP("LULUCF|SO2|Premature mortality", US_national_yearly!$D:$AM, 14, FALSE) / VLOOKUP("LULUCF|SO2|Premature mortality", US_national_yearly!$D:$AM, 10, FALSE), 1)</f>
        <v>7.2377268683219715E-4</v>
      </c>
      <c r="G2" s="7">
        <f>$B2 * IFERROR(VLOOKUP("LULUCF|SO2|Premature mortality", US_national_yearly!$D:$AM, 15, FALSE) / VLOOKUP("LULUCF|SO2|Premature mortality", US_national_yearly!$D:$AM, 10, FALSE), 1)</f>
        <v>7.4058379985741517E-4</v>
      </c>
      <c r="H2" s="7">
        <f>$B2 * IFERROR(VLOOKUP("LULUCF|SO2|Premature mortality", US_national_yearly!$D:$AM, 16, FALSE) / VLOOKUP("LULUCF|SO2|Premature mortality", US_national_yearly!$D:$AM, 10, FALSE), 1)</f>
        <v>7.5739491288263298E-4</v>
      </c>
      <c r="I2" s="7">
        <f>$B2 * IFERROR(VLOOKUP("LULUCF|SO2|Premature mortality", US_national_yearly!$D:$AM, 17, FALSE) / VLOOKUP("LULUCF|SO2|Premature mortality", US_national_yearly!$D:$AM, 10, FALSE), 1)</f>
        <v>7.6850472645416303E-4</v>
      </c>
      <c r="J2" s="7">
        <f>$B2 * IFERROR(VLOOKUP("LULUCF|SO2|Premature mortality", US_national_yearly!$D:$AM, 18, FALSE) / VLOOKUP("LULUCF|SO2|Premature mortality", US_national_yearly!$D:$AM, 10, FALSE), 1)</f>
        <v>7.796145400256932E-4</v>
      </c>
      <c r="K2" s="7">
        <f>$B2 * IFERROR(VLOOKUP("LULUCF|SO2|Premature mortality", US_national_yearly!$D:$AM, 19, FALSE) / VLOOKUP("LULUCF|SO2|Premature mortality", US_national_yearly!$D:$AM, 10, FALSE), 1)</f>
        <v>7.9072435359722314E-4</v>
      </c>
      <c r="L2" s="7">
        <f>$B2 * IFERROR(VLOOKUP("LULUCF|SO2|Premature mortality", US_national_yearly!$D:$AM, 20, FALSE) / VLOOKUP("LULUCF|SO2|Premature mortality", US_national_yearly!$D:$AM, 10, FALSE), 1)</f>
        <v>8.018341671687532E-4</v>
      </c>
      <c r="M2" s="7">
        <f>$B2 * IFERROR(VLOOKUP("LULUCF|SO2|Premature mortality", US_national_yearly!$D:$AM, 21, FALSE) / VLOOKUP("LULUCF|SO2|Premature mortality", US_national_yearly!$D:$AM, 10, FALSE), 1)</f>
        <v>8.1294398074028336E-4</v>
      </c>
      <c r="N2" s="7">
        <f>$B2 * IFERROR(VLOOKUP("LULUCF|SO2|Premature mortality", US_national_yearly!$D:$AM, 22, FALSE) / VLOOKUP("LULUCF|SO2|Premature mortality", US_national_yearly!$D:$AM, 10, FALSE), 1)</f>
        <v>8.2162458643849539E-4</v>
      </c>
      <c r="O2" s="7">
        <f>$B2 * IFERROR(VLOOKUP("LULUCF|SO2|Premature mortality", US_national_yearly!$D:$AM, 23, FALSE) / VLOOKUP("LULUCF|SO2|Premature mortality", US_national_yearly!$D:$AM, 10, FALSE), 1)</f>
        <v>8.3030519213670752E-4</v>
      </c>
      <c r="P2" s="7">
        <f>$B2 * IFERROR(VLOOKUP("LULUCF|SO2|Premature mortality", US_national_yearly!$D:$AM, 24, FALSE) / VLOOKUP("LULUCF|SO2|Premature mortality", US_national_yearly!$D:$AM, 10, FALSE), 1)</f>
        <v>8.3898579783491965E-4</v>
      </c>
      <c r="Q2" s="7">
        <f>$B2 * IFERROR(VLOOKUP("LULUCF|SO2|Premature mortality", US_national_yearly!$D:$AM, 25, FALSE) / VLOOKUP("LULUCF|SO2|Premature mortality", US_national_yearly!$D:$AM, 10, FALSE), 1)</f>
        <v>8.4766640353313167E-4</v>
      </c>
      <c r="R2" s="7">
        <f>$B2 * IFERROR(VLOOKUP("LULUCF|SO2|Premature mortality", US_national_yearly!$D:$AM, 26, FALSE) / VLOOKUP("LULUCF|SO2|Premature mortality", US_national_yearly!$D:$AM, 10, FALSE), 1)</f>
        <v>8.563470092313437E-4</v>
      </c>
      <c r="S2" s="7">
        <f>$B2 * IFERROR(VLOOKUP("LULUCF|SO2|Premature mortality", US_national_yearly!$D:$AM, 27, FALSE) / VLOOKUP("LULUCF|SO2|Premature mortality", US_national_yearly!$D:$AM, 10, FALSE), 1)</f>
        <v>8.6099558916673073E-4</v>
      </c>
      <c r="T2" s="7">
        <f>$B2 * IFERROR(VLOOKUP("LULUCF|SO2|Premature mortality", US_national_yearly!$D:$AM, 28, FALSE) / VLOOKUP("LULUCF|SO2|Premature mortality", US_national_yearly!$D:$AM, 10, FALSE), 1)</f>
        <v>8.6564416910211767E-4</v>
      </c>
      <c r="U2" s="7">
        <f>$B2 * IFERROR(VLOOKUP("LULUCF|SO2|Premature mortality", US_national_yearly!$D:$AM, 29, FALSE) / VLOOKUP("LULUCF|SO2|Premature mortality", US_national_yearly!$D:$AM, 10, FALSE), 1)</f>
        <v>8.702927490375046E-4</v>
      </c>
      <c r="V2" s="7">
        <f>$B2 * IFERROR(VLOOKUP("LULUCF|SO2|Premature mortality", US_national_yearly!$D:$AM, 30, FALSE) / VLOOKUP("LULUCF|SO2|Premature mortality", US_national_yearly!$D:$AM, 10, FALSE), 1)</f>
        <v>8.7494132897289153E-4</v>
      </c>
      <c r="W2" s="7">
        <f>$B2 * IFERROR(VLOOKUP("LULUCF|SO2|Premature mortality", US_national_yearly!$D:$AM, 31, FALSE) / VLOOKUP("LULUCF|SO2|Premature mortality", US_national_yearly!$D:$AM, 10, FALSE), 1)</f>
        <v>8.7958990890827857E-4</v>
      </c>
      <c r="X2" s="7">
        <f>$B2 * IFERROR(VLOOKUP("LULUCF|SO2|Premature mortality", US_national_yearly!$D:$AM, 32, FALSE) / VLOOKUP("LULUCF|SO2|Premature mortality", US_national_yearly!$D:$AM, 10, FALSE), 1)</f>
        <v>8.8053428214108912E-4</v>
      </c>
      <c r="Y2" s="7">
        <f>$B2 * IFERROR(VLOOKUP("LULUCF|SO2|Premature mortality", US_national_yearly!$D:$AM, 33, FALSE) / VLOOKUP("LULUCF|SO2|Premature mortality", US_national_yearly!$D:$AM, 10, FALSE), 1)</f>
        <v>8.8147865537389978E-4</v>
      </c>
      <c r="Z2" s="7">
        <f>$B2 * IFERROR(VLOOKUP("LULUCF|SO2|Premature mortality", US_national_yearly!$D:$AM, 34, FALSE) / VLOOKUP("LULUCF|SO2|Premature mortality", US_national_yearly!$D:$AM, 10, FALSE), 1)</f>
        <v>8.8242302860671055E-4</v>
      </c>
      <c r="AA2" s="7">
        <f>$B2 * IFERROR(VLOOKUP("LULUCF|SO2|Premature mortality", US_national_yearly!$D:$AM, 35, FALSE) / VLOOKUP("LULUCF|SO2|Premature mortality", US_national_yearly!$D:$AM, 10, FALSE), 1)</f>
        <v>8.8336740183952121E-4</v>
      </c>
      <c r="AB2" s="7">
        <f>$B2 * IFERROR(VLOOKUP("LULUCF|SO2|Premature mortality", US_national_yearly!$D:$AM, 36, FALSE) / VLOOKUP("LULUCF|SO2|Premature mortality", US_national_yearly!$D:$AM, 10, FALSE), 1)</f>
        <v>8.8431177507233177E-4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1.9199558438696998E-6</v>
      </c>
      <c r="C3" s="7">
        <f>$B3 * IFERROR(VLOOKUP("LULUCF|SO2|Infant mortality", US_national_yearly!$D:$AM, 11, FALSE) / VLOOKUP("LULUCF|SO2|Infant mortality", US_national_yearly!$D:$AM, 10, FALSE), 1)</f>
        <v>1.9034630729602172E-6</v>
      </c>
      <c r="D3" s="7">
        <f>$B3 * IFERROR(VLOOKUP("LULUCF|SO2|Infant mortality", US_national_yearly!$D:$AM, 12, FALSE) / VLOOKUP("LULUCF|SO2|Infant mortality", US_national_yearly!$D:$AM, 10, FALSE), 1)</f>
        <v>1.8869703020507347E-6</v>
      </c>
      <c r="E3" s="7">
        <f>$B3 * IFERROR(VLOOKUP("LULUCF|SO2|Infant mortality", US_national_yearly!$D:$AM, 13, FALSE) / VLOOKUP("LULUCF|SO2|Infant mortality", US_national_yearly!$D:$AM, 10, FALSE), 1)</f>
        <v>1.8704775311412519E-6</v>
      </c>
      <c r="F3" s="7">
        <f>$B3 * IFERROR(VLOOKUP("LULUCF|SO2|Infant mortality", US_national_yearly!$D:$AM, 14, FALSE) / VLOOKUP("LULUCF|SO2|Infant mortality", US_national_yearly!$D:$AM, 10, FALSE), 1)</f>
        <v>1.8539847602317693E-6</v>
      </c>
      <c r="G3" s="7">
        <f>$B3 * IFERROR(VLOOKUP("LULUCF|SO2|Infant mortality", US_national_yearly!$D:$AM, 15, FALSE) / VLOOKUP("LULUCF|SO2|Infant mortality", US_national_yearly!$D:$AM, 10, FALSE), 1)</f>
        <v>1.2349031731775243E-6</v>
      </c>
      <c r="H3" s="7">
        <f>$B3 * IFERROR(VLOOKUP("LULUCF|SO2|Infant mortality", US_national_yearly!$D:$AM, 16, FALSE) / VLOOKUP("LULUCF|SO2|Infant mortality", US_national_yearly!$D:$AM, 10, FALSE), 1)</f>
        <v>6.1582158612328041E-7</v>
      </c>
      <c r="I3" s="7">
        <f>$B3 * IFERROR(VLOOKUP("LULUCF|SO2|Infant mortality", US_national_yearly!$D:$AM, 17, FALSE) / VLOOKUP("LULUCF|SO2|Infant mortality", US_national_yearly!$D:$AM, 10, FALSE), 1)</f>
        <v>6.119583513513763E-7</v>
      </c>
      <c r="J3" s="7">
        <f>$B3 * IFERROR(VLOOKUP("LULUCF|SO2|Infant mortality", US_national_yearly!$D:$AM, 18, FALSE) / VLOOKUP("LULUCF|SO2|Infant mortality", US_national_yearly!$D:$AM, 10, FALSE), 1)</f>
        <v>6.080951165794722E-7</v>
      </c>
      <c r="K3" s="7">
        <f>$B3 * IFERROR(VLOOKUP("LULUCF|SO2|Infant mortality", US_national_yearly!$D:$AM, 19, FALSE) / VLOOKUP("LULUCF|SO2|Infant mortality", US_national_yearly!$D:$AM, 10, FALSE), 1)</f>
        <v>6.0423188180756799E-7</v>
      </c>
      <c r="L3" s="7">
        <f>$B3 * IFERROR(VLOOKUP("LULUCF|SO2|Infant mortality", US_national_yearly!$D:$AM, 20, FALSE) / VLOOKUP("LULUCF|SO2|Infant mortality", US_national_yearly!$D:$AM, 10, FALSE), 1)</f>
        <v>6.0036864703566399E-7</v>
      </c>
      <c r="M3" s="7">
        <f>$B3 * IFERROR(VLOOKUP("LULUCF|SO2|Infant mortality", US_national_yearly!$D:$AM, 21, FALSE) / VLOOKUP("LULUCF|SO2|Infant mortality", US_national_yearly!$D:$AM, 10, FALSE), 1)</f>
        <v>5.9650541226375988E-7</v>
      </c>
      <c r="N3" s="7">
        <f>$B3 * IFERROR(VLOOKUP("LULUCF|SO2|Infant mortality", US_national_yearly!$D:$AM, 22, FALSE) / VLOOKUP("LULUCF|SO2|Infant mortality", US_national_yearly!$D:$AM, 10, FALSE), 1)</f>
        <v>5.9408048872016955E-7</v>
      </c>
      <c r="O3" s="7">
        <f>$B3 * IFERROR(VLOOKUP("LULUCF|SO2|Infant mortality", US_national_yearly!$D:$AM, 23, FALSE) / VLOOKUP("LULUCF|SO2|Infant mortality", US_national_yearly!$D:$AM, 10, FALSE), 1)</f>
        <v>5.9165556517657921E-7</v>
      </c>
      <c r="P3" s="7">
        <f>$B3 * IFERROR(VLOOKUP("LULUCF|SO2|Infant mortality", US_national_yearly!$D:$AM, 24, FALSE) / VLOOKUP("LULUCF|SO2|Infant mortality", US_national_yearly!$D:$AM, 10, FALSE), 1)</f>
        <v>5.8923064163298866E-7</v>
      </c>
      <c r="Q3" s="7">
        <f>$B3 * IFERROR(VLOOKUP("LULUCF|SO2|Infant mortality", US_national_yearly!$D:$AM, 25, FALSE) / VLOOKUP("LULUCF|SO2|Infant mortality", US_national_yearly!$D:$AM, 10, FALSE), 1)</f>
        <v>5.8680571808939832E-7</v>
      </c>
      <c r="R3" s="7">
        <f>$B3 * IFERROR(VLOOKUP("LULUCF|SO2|Infant mortality", US_national_yearly!$D:$AM, 26, FALSE) / VLOOKUP("LULUCF|SO2|Infant mortality", US_national_yearly!$D:$AM, 10, FALSE), 1)</f>
        <v>5.8438079454580788E-7</v>
      </c>
      <c r="S3" s="7">
        <f>$B3 * IFERROR(VLOOKUP("LULUCF|SO2|Infant mortality", US_national_yearly!$D:$AM, 27, FALSE) / VLOOKUP("LULUCF|SO2|Infant mortality", US_national_yearly!$D:$AM, 10, FALSE), 1)</f>
        <v>5.8133615530732559E-7</v>
      </c>
      <c r="T3" s="7">
        <f>$B3 * IFERROR(VLOOKUP("LULUCF|SO2|Infant mortality", US_national_yearly!$D:$AM, 28, FALSE) / VLOOKUP("LULUCF|SO2|Infant mortality", US_national_yearly!$D:$AM, 10, FALSE), 1)</f>
        <v>5.7829151606884331E-7</v>
      </c>
      <c r="U3" s="7">
        <f>$B3 * IFERROR(VLOOKUP("LULUCF|SO2|Infant mortality", US_national_yearly!$D:$AM, 29, FALSE) / VLOOKUP("LULUCF|SO2|Infant mortality", US_national_yearly!$D:$AM, 10, FALSE), 1)</f>
        <v>5.7524687683036081E-7</v>
      </c>
      <c r="V3" s="7">
        <f>$B3 * IFERROR(VLOOKUP("LULUCF|SO2|Infant mortality", US_national_yearly!$D:$AM, 30, FALSE) / VLOOKUP("LULUCF|SO2|Infant mortality", US_national_yearly!$D:$AM, 10, FALSE), 1)</f>
        <v>5.7220223759187864E-7</v>
      </c>
      <c r="W3" s="7">
        <f>$B3 * IFERROR(VLOOKUP("LULUCF|SO2|Infant mortality", US_national_yearly!$D:$AM, 31, FALSE) / VLOOKUP("LULUCF|SO2|Infant mortality", US_national_yearly!$D:$AM, 10, FALSE), 1)</f>
        <v>5.6915759835339635E-7</v>
      </c>
      <c r="X3" s="7">
        <f>$B3 * IFERROR(VLOOKUP("LULUCF|SO2|Infant mortality", US_national_yearly!$D:$AM, 32, FALSE) / VLOOKUP("LULUCF|SO2|Infant mortality", US_national_yearly!$D:$AM, 10, FALSE), 1)</f>
        <v>5.6582886787063356E-7</v>
      </c>
      <c r="Y3" s="7">
        <f>$B3 * IFERROR(VLOOKUP("LULUCF|SO2|Infant mortality", US_national_yearly!$D:$AM, 33, FALSE) / VLOOKUP("LULUCF|SO2|Infant mortality", US_national_yearly!$D:$AM, 10, FALSE), 1)</f>
        <v>5.6250013738787066E-7</v>
      </c>
      <c r="Z3" s="7">
        <f>$B3 * IFERROR(VLOOKUP("LULUCF|SO2|Infant mortality", US_national_yearly!$D:$AM, 34, FALSE) / VLOOKUP("LULUCF|SO2|Infant mortality", US_national_yearly!$D:$AM, 10, FALSE), 1)</f>
        <v>5.5917140690510787E-7</v>
      </c>
      <c r="AA3" s="7">
        <f>$B3 * IFERROR(VLOOKUP("LULUCF|SO2|Infant mortality", US_national_yearly!$D:$AM, 35, FALSE) / VLOOKUP("LULUCF|SO2|Infant mortality", US_national_yearly!$D:$AM, 10, FALSE), 1)</f>
        <v>5.5584267642234497E-7</v>
      </c>
      <c r="AB3" s="7">
        <f>$B3 * IFERROR(VLOOKUP("LULUCF|SO2|Infant mortality", US_national_yearly!$D:$AM, 36, FALSE) / VLOOKUP("LULUCF|SO2|Infant mortality", US_national_yearly!$D:$AM, 10, FALSE), 1)</f>
        <v>5.5251394593958218E-7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1.650020654290877E-3</v>
      </c>
      <c r="C6" s="7">
        <f>$B6 * IFERROR(VLOOKUP("LULUCF|SO2|Asthma symptoms cough", US_national_yearly!$D:$AM, 11, FALSE) / VLOOKUP("LULUCF|SO2|Asthma symptoms cough", US_national_yearly!$D:$AM, 10, FALSE), 1)</f>
        <v>1.650020654290877E-3</v>
      </c>
      <c r="D6" s="7">
        <f>$B6 * IFERROR(VLOOKUP("LULUCF|SO2|Asthma symptoms cough", US_national_yearly!$D:$AM, 12, FALSE) / VLOOKUP("LULUCF|SO2|Asthma symptoms cough", US_national_yearly!$D:$AM, 10, FALSE), 1)</f>
        <v>1.650020654290877E-3</v>
      </c>
      <c r="E6" s="7">
        <f>$B6 * IFERROR(VLOOKUP("LULUCF|SO2|Asthma symptoms cough", US_national_yearly!$D:$AM, 13, FALSE) / VLOOKUP("LULUCF|SO2|Asthma symptoms cough", US_national_yearly!$D:$AM, 10, FALSE), 1)</f>
        <v>1.650020654290877E-3</v>
      </c>
      <c r="F6" s="7">
        <f>$B6 * IFERROR(VLOOKUP("LULUCF|SO2|Asthma symptoms cough", US_national_yearly!$D:$AM, 14, FALSE) / VLOOKUP("LULUCF|SO2|Asthma symptoms cough", US_national_yearly!$D:$AM, 10, FALSE), 1)</f>
        <v>1.650020654290877E-3</v>
      </c>
      <c r="G6" s="7">
        <f>$B6 * IFERROR(VLOOKUP("LULUCF|SO2|Asthma symptoms cough", US_national_yearly!$D:$AM, 15, FALSE) / VLOOKUP("LULUCF|SO2|Asthma symptoms cough", US_national_yearly!$D:$AM, 10, FALSE), 1)</f>
        <v>1.650020654290877E-3</v>
      </c>
      <c r="H6" s="7">
        <f>$B6 * IFERROR(VLOOKUP("LULUCF|SO2|Asthma symptoms cough", US_national_yearly!$D:$AM, 16, FALSE) / VLOOKUP("LULUCF|SO2|Asthma symptoms cough", US_national_yearly!$D:$AM, 10, FALSE), 1)</f>
        <v>1.650020654290877E-3</v>
      </c>
      <c r="I6" s="7">
        <f>$B6 * IFERROR(VLOOKUP("LULUCF|SO2|Asthma symptoms cough", US_national_yearly!$D:$AM, 17, FALSE) / VLOOKUP("LULUCF|SO2|Asthma symptoms cough", US_national_yearly!$D:$AM, 10, FALSE), 1)</f>
        <v>1.650020654290877E-3</v>
      </c>
      <c r="J6" s="7">
        <f>$B6 * IFERROR(VLOOKUP("LULUCF|SO2|Asthma symptoms cough", US_national_yearly!$D:$AM, 18, FALSE) / VLOOKUP("LULUCF|SO2|Asthma symptoms cough", US_national_yearly!$D:$AM, 10, FALSE), 1)</f>
        <v>1.650020654290877E-3</v>
      </c>
      <c r="K6" s="7">
        <f>$B6 * IFERROR(VLOOKUP("LULUCF|SO2|Asthma symptoms cough", US_national_yearly!$D:$AM, 19, FALSE) / VLOOKUP("LULUCF|SO2|Asthma symptoms cough", US_national_yearly!$D:$AM, 10, FALSE), 1)</f>
        <v>1.650020654290877E-3</v>
      </c>
      <c r="L6" s="7">
        <f>$B6 * IFERROR(VLOOKUP("LULUCF|SO2|Asthma symptoms cough", US_national_yearly!$D:$AM, 20, FALSE) / VLOOKUP("LULUCF|SO2|Asthma symptoms cough", US_national_yearly!$D:$AM, 10, FALSE), 1)</f>
        <v>1.650020654290877E-3</v>
      </c>
      <c r="M6" s="7">
        <f>$B6 * IFERROR(VLOOKUP("LULUCF|SO2|Asthma symptoms cough", US_national_yearly!$D:$AM, 21, FALSE) / VLOOKUP("LULUCF|SO2|Asthma symptoms cough", US_national_yearly!$D:$AM, 10, FALSE), 1)</f>
        <v>1.650020654290877E-3</v>
      </c>
      <c r="N6" s="7">
        <f>$B6 * IFERROR(VLOOKUP("LULUCF|SO2|Asthma symptoms cough", US_national_yearly!$D:$AM, 22, FALSE) / VLOOKUP("LULUCF|SO2|Asthma symptoms cough", US_national_yearly!$D:$AM, 10, FALSE), 1)</f>
        <v>1.650020654290877E-3</v>
      </c>
      <c r="O6" s="7">
        <f>$B6 * IFERROR(VLOOKUP("LULUCF|SO2|Asthma symptoms cough", US_national_yearly!$D:$AM, 23, FALSE) / VLOOKUP("LULUCF|SO2|Asthma symptoms cough", US_national_yearly!$D:$AM, 10, FALSE), 1)</f>
        <v>1.650020654290877E-3</v>
      </c>
      <c r="P6" s="7">
        <f>$B6 * IFERROR(VLOOKUP("LULUCF|SO2|Asthma symptoms cough", US_national_yearly!$D:$AM, 24, FALSE) / VLOOKUP("LULUCF|SO2|Asthma symptoms cough", US_national_yearly!$D:$AM, 10, FALSE), 1)</f>
        <v>1.650020654290877E-3</v>
      </c>
      <c r="Q6" s="7">
        <f>$B6 * IFERROR(VLOOKUP("LULUCF|SO2|Asthma symptoms cough", US_national_yearly!$D:$AM, 25, FALSE) / VLOOKUP("LULUCF|SO2|Asthma symptoms cough", US_national_yearly!$D:$AM, 10, FALSE), 1)</f>
        <v>1.650020654290877E-3</v>
      </c>
      <c r="R6" s="7">
        <f>$B6 * IFERROR(VLOOKUP("LULUCF|SO2|Asthma symptoms cough", US_national_yearly!$D:$AM, 26, FALSE) / VLOOKUP("LULUCF|SO2|Asthma symptoms cough", US_national_yearly!$D:$AM, 10, FALSE), 1)</f>
        <v>1.650020654290877E-3</v>
      </c>
      <c r="S6" s="7">
        <f>$B6 * IFERROR(VLOOKUP("LULUCF|SO2|Asthma symptoms cough", US_national_yearly!$D:$AM, 27, FALSE) / VLOOKUP("LULUCF|SO2|Asthma symptoms cough", US_national_yearly!$D:$AM, 10, FALSE), 1)</f>
        <v>1.650020654290877E-3</v>
      </c>
      <c r="T6" s="7">
        <f>$B6 * IFERROR(VLOOKUP("LULUCF|SO2|Asthma symptoms cough", US_national_yearly!$D:$AM, 28, FALSE) / VLOOKUP("LULUCF|SO2|Asthma symptoms cough", US_national_yearly!$D:$AM, 10, FALSE), 1)</f>
        <v>1.650020654290877E-3</v>
      </c>
      <c r="U6" s="7">
        <f>$B6 * IFERROR(VLOOKUP("LULUCF|SO2|Asthma symptoms cough", US_national_yearly!$D:$AM, 29, FALSE) / VLOOKUP("LULUCF|SO2|Asthma symptoms cough", US_national_yearly!$D:$AM, 10, FALSE), 1)</f>
        <v>1.650020654290877E-3</v>
      </c>
      <c r="V6" s="7">
        <f>$B6 * IFERROR(VLOOKUP("LULUCF|SO2|Asthma symptoms cough", US_national_yearly!$D:$AM, 30, FALSE) / VLOOKUP("LULUCF|SO2|Asthma symptoms cough", US_national_yearly!$D:$AM, 10, FALSE), 1)</f>
        <v>1.650020654290877E-3</v>
      </c>
      <c r="W6" s="7">
        <f>$B6 * IFERROR(VLOOKUP("LULUCF|SO2|Asthma symptoms cough", US_national_yearly!$D:$AM, 31, FALSE) / VLOOKUP("LULUCF|SO2|Asthma symptoms cough", US_national_yearly!$D:$AM, 10, FALSE), 1)</f>
        <v>1.650020654290877E-3</v>
      </c>
      <c r="X6" s="7">
        <f>$B6 * IFERROR(VLOOKUP("LULUCF|SO2|Asthma symptoms cough", US_national_yearly!$D:$AM, 32, FALSE) / VLOOKUP("LULUCF|SO2|Asthma symptoms cough", US_national_yearly!$D:$AM, 10, FALSE), 1)</f>
        <v>1.650020654290877E-3</v>
      </c>
      <c r="Y6" s="7">
        <f>$B6 * IFERROR(VLOOKUP("LULUCF|SO2|Asthma symptoms cough", US_national_yearly!$D:$AM, 33, FALSE) / VLOOKUP("LULUCF|SO2|Asthma symptoms cough", US_national_yearly!$D:$AM, 10, FALSE), 1)</f>
        <v>1.650020654290877E-3</v>
      </c>
      <c r="Z6" s="7">
        <f>$B6 * IFERROR(VLOOKUP("LULUCF|SO2|Asthma symptoms cough", US_national_yearly!$D:$AM, 34, FALSE) / VLOOKUP("LULUCF|SO2|Asthma symptoms cough", US_national_yearly!$D:$AM, 10, FALSE), 1)</f>
        <v>1.650020654290877E-3</v>
      </c>
      <c r="AA6" s="7">
        <f>$B6 * IFERROR(VLOOKUP("LULUCF|SO2|Asthma symptoms cough", US_national_yearly!$D:$AM, 35, FALSE) / VLOOKUP("LULUCF|SO2|Asthma symptoms cough", US_national_yearly!$D:$AM, 10, FALSE), 1)</f>
        <v>1.650020654290877E-3</v>
      </c>
      <c r="AB6" s="7">
        <f>$B6 * IFERROR(VLOOKUP("LULUCF|SO2|Asthma symptoms cough", US_national_yearly!$D:$AM, 36, FALSE) / VLOOKUP("LULUCF|SO2|Asthma symptoms cough", US_national_yearly!$D:$AM, 10, FALSE), 1)</f>
        <v>1.650020654290877E-3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2.2219838234022104E-3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2.2219838234022104E-3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2.2219838234022104E-3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2.2219838234022104E-3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2.2219838234022104E-3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2.2219838234022104E-3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2.2219838234022104E-3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2.2219838234022104E-3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2.2219838234022104E-3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2.2219838234022104E-3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2.2219838234022104E-3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2.2219838234022104E-3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2.2219838234022104E-3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2.2219838234022104E-3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2.2219838234022104E-3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2.2219838234022104E-3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2.2219838234022104E-3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2.2219838234022104E-3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2.2219838234022104E-3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2.2219838234022104E-3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2.2219838234022104E-3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2.2219838234022104E-3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2.2219838234022104E-3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2.2219838234022104E-3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2.2219838234022104E-3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2.2219838234022104E-3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2.2219838234022104E-3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3.3948447148747728E-3</v>
      </c>
      <c r="C8" s="7">
        <f>$B8 * IFERROR(VLOOKUP("LULUCF|SO2|Asthma symptoms wheeze", US_national_yearly!$D:$AM, 11, FALSE) / VLOOKUP("LULUCF|SO2|Asthma symptoms wheeze", US_national_yearly!$D:$AM, 10, FALSE), 1)</f>
        <v>3.3948447148747728E-3</v>
      </c>
      <c r="D8" s="7">
        <f>$B8 * IFERROR(VLOOKUP("LULUCF|SO2|Asthma symptoms wheeze", US_national_yearly!$D:$AM, 12, FALSE) / VLOOKUP("LULUCF|SO2|Asthma symptoms wheeze", US_national_yearly!$D:$AM, 10, FALSE), 1)</f>
        <v>3.3948447148747728E-3</v>
      </c>
      <c r="E8" s="7">
        <f>$B8 * IFERROR(VLOOKUP("LULUCF|SO2|Asthma symptoms wheeze", US_national_yearly!$D:$AM, 13, FALSE) / VLOOKUP("LULUCF|SO2|Asthma symptoms wheeze", US_national_yearly!$D:$AM, 10, FALSE), 1)</f>
        <v>3.3948447148747728E-3</v>
      </c>
      <c r="F8" s="7">
        <f>$B8 * IFERROR(VLOOKUP("LULUCF|SO2|Asthma symptoms wheeze", US_national_yearly!$D:$AM, 14, FALSE) / VLOOKUP("LULUCF|SO2|Asthma symptoms wheeze", US_national_yearly!$D:$AM, 10, FALSE), 1)</f>
        <v>3.3948447148747728E-3</v>
      </c>
      <c r="G8" s="7">
        <f>$B8 * IFERROR(VLOOKUP("LULUCF|SO2|Asthma symptoms wheeze", US_national_yearly!$D:$AM, 15, FALSE) / VLOOKUP("LULUCF|SO2|Asthma symptoms wheeze", US_national_yearly!$D:$AM, 10, FALSE), 1)</f>
        <v>3.3948447148747728E-3</v>
      </c>
      <c r="H8" s="7">
        <f>$B8 * IFERROR(VLOOKUP("LULUCF|SO2|Asthma symptoms wheeze", US_national_yearly!$D:$AM, 16, FALSE) / VLOOKUP("LULUCF|SO2|Asthma symptoms wheeze", US_national_yearly!$D:$AM, 10, FALSE), 1)</f>
        <v>3.3948447148747728E-3</v>
      </c>
      <c r="I8" s="7">
        <f>$B8 * IFERROR(VLOOKUP("LULUCF|SO2|Asthma symptoms wheeze", US_national_yearly!$D:$AM, 17, FALSE) / VLOOKUP("LULUCF|SO2|Asthma symptoms wheeze", US_national_yearly!$D:$AM, 10, FALSE), 1)</f>
        <v>3.3948447148747728E-3</v>
      </c>
      <c r="J8" s="7">
        <f>$B8 * IFERROR(VLOOKUP("LULUCF|SO2|Asthma symptoms wheeze", US_national_yearly!$D:$AM, 18, FALSE) / VLOOKUP("LULUCF|SO2|Asthma symptoms wheeze", US_national_yearly!$D:$AM, 10, FALSE), 1)</f>
        <v>3.3948447148747728E-3</v>
      </c>
      <c r="K8" s="7">
        <f>$B8 * IFERROR(VLOOKUP("LULUCF|SO2|Asthma symptoms wheeze", US_national_yearly!$D:$AM, 19, FALSE) / VLOOKUP("LULUCF|SO2|Asthma symptoms wheeze", US_national_yearly!$D:$AM, 10, FALSE), 1)</f>
        <v>3.3948447148747728E-3</v>
      </c>
      <c r="L8" s="7">
        <f>$B8 * IFERROR(VLOOKUP("LULUCF|SO2|Asthma symptoms wheeze", US_national_yearly!$D:$AM, 20, FALSE) / VLOOKUP("LULUCF|SO2|Asthma symptoms wheeze", US_national_yearly!$D:$AM, 10, FALSE), 1)</f>
        <v>3.3948447148747728E-3</v>
      </c>
      <c r="M8" s="7">
        <f>$B8 * IFERROR(VLOOKUP("LULUCF|SO2|Asthma symptoms wheeze", US_national_yearly!$D:$AM, 21, FALSE) / VLOOKUP("LULUCF|SO2|Asthma symptoms wheeze", US_national_yearly!$D:$AM, 10, FALSE), 1)</f>
        <v>3.3948447148747728E-3</v>
      </c>
      <c r="N8" s="7">
        <f>$B8 * IFERROR(VLOOKUP("LULUCF|SO2|Asthma symptoms wheeze", US_national_yearly!$D:$AM, 22, FALSE) / VLOOKUP("LULUCF|SO2|Asthma symptoms wheeze", US_national_yearly!$D:$AM, 10, FALSE), 1)</f>
        <v>3.3948447148747728E-3</v>
      </c>
      <c r="O8" s="7">
        <f>$B8 * IFERROR(VLOOKUP("LULUCF|SO2|Asthma symptoms wheeze", US_national_yearly!$D:$AM, 23, FALSE) / VLOOKUP("LULUCF|SO2|Asthma symptoms wheeze", US_national_yearly!$D:$AM, 10, FALSE), 1)</f>
        <v>3.3948447148747728E-3</v>
      </c>
      <c r="P8" s="7">
        <f>$B8 * IFERROR(VLOOKUP("LULUCF|SO2|Asthma symptoms wheeze", US_national_yearly!$D:$AM, 24, FALSE) / VLOOKUP("LULUCF|SO2|Asthma symptoms wheeze", US_national_yearly!$D:$AM, 10, FALSE), 1)</f>
        <v>3.3948447148747728E-3</v>
      </c>
      <c r="Q8" s="7">
        <f>$B8 * IFERROR(VLOOKUP("LULUCF|SO2|Asthma symptoms wheeze", US_national_yearly!$D:$AM, 25, FALSE) / VLOOKUP("LULUCF|SO2|Asthma symptoms wheeze", US_national_yearly!$D:$AM, 10, FALSE), 1)</f>
        <v>3.3948447148747728E-3</v>
      </c>
      <c r="R8" s="7">
        <f>$B8 * IFERROR(VLOOKUP("LULUCF|SO2|Asthma symptoms wheeze", US_national_yearly!$D:$AM, 26, FALSE) / VLOOKUP("LULUCF|SO2|Asthma symptoms wheeze", US_national_yearly!$D:$AM, 10, FALSE), 1)</f>
        <v>3.3948447148747728E-3</v>
      </c>
      <c r="S8" s="7">
        <f>$B8 * IFERROR(VLOOKUP("LULUCF|SO2|Asthma symptoms wheeze", US_national_yearly!$D:$AM, 27, FALSE) / VLOOKUP("LULUCF|SO2|Asthma symptoms wheeze", US_national_yearly!$D:$AM, 10, FALSE), 1)</f>
        <v>3.3948447148747728E-3</v>
      </c>
      <c r="T8" s="7">
        <f>$B8 * IFERROR(VLOOKUP("LULUCF|SO2|Asthma symptoms wheeze", US_national_yearly!$D:$AM, 28, FALSE) / VLOOKUP("LULUCF|SO2|Asthma symptoms wheeze", US_national_yearly!$D:$AM, 10, FALSE), 1)</f>
        <v>3.3948447148747728E-3</v>
      </c>
      <c r="U8" s="7">
        <f>$B8 * IFERROR(VLOOKUP("LULUCF|SO2|Asthma symptoms wheeze", US_national_yearly!$D:$AM, 29, FALSE) / VLOOKUP("LULUCF|SO2|Asthma symptoms wheeze", US_national_yearly!$D:$AM, 10, FALSE), 1)</f>
        <v>3.3948447148747728E-3</v>
      </c>
      <c r="V8" s="7">
        <f>$B8 * IFERROR(VLOOKUP("LULUCF|SO2|Asthma symptoms wheeze", US_national_yearly!$D:$AM, 30, FALSE) / VLOOKUP("LULUCF|SO2|Asthma symptoms wheeze", US_national_yearly!$D:$AM, 10, FALSE), 1)</f>
        <v>3.3948447148747728E-3</v>
      </c>
      <c r="W8" s="7">
        <f>$B8 * IFERROR(VLOOKUP("LULUCF|SO2|Asthma symptoms wheeze", US_national_yearly!$D:$AM, 31, FALSE) / VLOOKUP("LULUCF|SO2|Asthma symptoms wheeze", US_national_yearly!$D:$AM, 10, FALSE), 1)</f>
        <v>3.3948447148747728E-3</v>
      </c>
      <c r="X8" s="7">
        <f>$B8 * IFERROR(VLOOKUP("LULUCF|SO2|Asthma symptoms wheeze", US_national_yearly!$D:$AM, 32, FALSE) / VLOOKUP("LULUCF|SO2|Asthma symptoms wheeze", US_national_yearly!$D:$AM, 10, FALSE), 1)</f>
        <v>3.3948447148747728E-3</v>
      </c>
      <c r="Y8" s="7">
        <f>$B8 * IFERROR(VLOOKUP("LULUCF|SO2|Asthma symptoms wheeze", US_national_yearly!$D:$AM, 33, FALSE) / VLOOKUP("LULUCF|SO2|Asthma symptoms wheeze", US_national_yearly!$D:$AM, 10, FALSE), 1)</f>
        <v>3.3948447148747728E-3</v>
      </c>
      <c r="Z8" s="7">
        <f>$B8 * IFERROR(VLOOKUP("LULUCF|SO2|Asthma symptoms wheeze", US_national_yearly!$D:$AM, 34, FALSE) / VLOOKUP("LULUCF|SO2|Asthma symptoms wheeze", US_national_yearly!$D:$AM, 10, FALSE), 1)</f>
        <v>3.3948447148747728E-3</v>
      </c>
      <c r="AA8" s="7">
        <f>$B8 * IFERROR(VLOOKUP("LULUCF|SO2|Asthma symptoms wheeze", US_national_yearly!$D:$AM, 35, FALSE) / VLOOKUP("LULUCF|SO2|Asthma symptoms wheeze", US_national_yearly!$D:$AM, 10, FALSE), 1)</f>
        <v>3.3948447148747728E-3</v>
      </c>
      <c r="AB8" s="7">
        <f>$B8 * IFERROR(VLOOKUP("LULUCF|SO2|Asthma symptoms wheeze", US_national_yearly!$D:$AM, 36, FALSE) / VLOOKUP("LULUCF|SO2|Asthma symptoms wheeze", US_national_yearly!$D:$AM, 10, FALSE), 1)</f>
        <v>3.3948447148747728E-3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4.6137910033268342E-5</v>
      </c>
      <c r="C12" s="7">
        <f>$B12 * IFERROR(VLOOKUP("LULUCF|SO2|Respiratory hospital admissions", US_national_yearly!$D:$AM, 11, FALSE) / VLOOKUP("LULUCF|SO2|Respiratory hospital admissions", US_national_yearly!$D:$AM, 10, FALSE), 1)</f>
        <v>4.6410033719463363E-5</v>
      </c>
      <c r="D12" s="7">
        <f>$B12 * IFERROR(VLOOKUP("LULUCF|SO2|Respiratory hospital admissions", US_national_yearly!$D:$AM, 12, FALSE) / VLOOKUP("LULUCF|SO2|Respiratory hospital admissions", US_national_yearly!$D:$AM, 10, FALSE), 1)</f>
        <v>4.6682157405658377E-5</v>
      </c>
      <c r="E12" s="7">
        <f>$B12 * IFERROR(VLOOKUP("LULUCF|SO2|Respiratory hospital admissions", US_national_yearly!$D:$AM, 13, FALSE) / VLOOKUP("LULUCF|SO2|Respiratory hospital admissions", US_national_yearly!$D:$AM, 10, FALSE), 1)</f>
        <v>4.6954281091853398E-5</v>
      </c>
      <c r="F12" s="7">
        <f>$B12 * IFERROR(VLOOKUP("LULUCF|SO2|Respiratory hospital admissions", US_national_yearly!$D:$AM, 14, FALSE) / VLOOKUP("LULUCF|SO2|Respiratory hospital admissions", US_national_yearly!$D:$AM, 10, FALSE), 1)</f>
        <v>4.7226404778048412E-5</v>
      </c>
      <c r="G12" s="7">
        <f>$B12 * IFERROR(VLOOKUP("LULUCF|SO2|Respiratory hospital admissions", US_national_yearly!$D:$AM, 15, FALSE) / VLOOKUP("LULUCF|SO2|Respiratory hospital admissions", US_national_yearly!$D:$AM, 10, FALSE), 1)</f>
        <v>4.7523065495373826E-5</v>
      </c>
      <c r="H12" s="7">
        <f>$B12 * IFERROR(VLOOKUP("LULUCF|SO2|Respiratory hospital admissions", US_national_yearly!$D:$AM, 16, FALSE) / VLOOKUP("LULUCF|SO2|Respiratory hospital admissions", US_national_yearly!$D:$AM, 10, FALSE), 1)</f>
        <v>4.7819726212699233E-5</v>
      </c>
      <c r="I12" s="7">
        <f>$B12 * IFERROR(VLOOKUP("LULUCF|SO2|Respiratory hospital admissions", US_national_yearly!$D:$AM, 17, FALSE) / VLOOKUP("LULUCF|SO2|Respiratory hospital admissions", US_national_yearly!$D:$AM, 10, FALSE), 1)</f>
        <v>4.8112269001632448E-5</v>
      </c>
      <c r="J12" s="7">
        <f>$B12 * IFERROR(VLOOKUP("LULUCF|SO2|Respiratory hospital admissions", US_national_yearly!$D:$AM, 18, FALSE) / VLOOKUP("LULUCF|SO2|Respiratory hospital admissions", US_national_yearly!$D:$AM, 10, FALSE), 1)</f>
        <v>4.840481179056567E-5</v>
      </c>
      <c r="K12" s="7">
        <f>$B12 * IFERROR(VLOOKUP("LULUCF|SO2|Respiratory hospital admissions", US_national_yearly!$D:$AM, 19, FALSE) / VLOOKUP("LULUCF|SO2|Respiratory hospital admissions", US_national_yearly!$D:$AM, 10, FALSE), 1)</f>
        <v>4.8697354579498871E-5</v>
      </c>
      <c r="L12" s="7">
        <f>$B12 * IFERROR(VLOOKUP("LULUCF|SO2|Respiratory hospital admissions", US_national_yearly!$D:$AM, 20, FALSE) / VLOOKUP("LULUCF|SO2|Respiratory hospital admissions", US_national_yearly!$D:$AM, 10, FALSE), 1)</f>
        <v>4.8989897368432093E-5</v>
      </c>
      <c r="M12" s="7">
        <f>$B12 * IFERROR(VLOOKUP("LULUCF|SO2|Respiratory hospital admissions", US_national_yearly!$D:$AM, 21, FALSE) / VLOOKUP("LULUCF|SO2|Respiratory hospital admissions", US_national_yearly!$D:$AM, 10, FALSE), 1)</f>
        <v>4.9282440157365295E-5</v>
      </c>
      <c r="N12" s="7">
        <f>$B12 * IFERROR(VLOOKUP("LULUCF|SO2|Respiratory hospital admissions", US_national_yearly!$D:$AM, 22, FALSE) / VLOOKUP("LULUCF|SO2|Respiratory hospital admissions", US_national_yearly!$D:$AM, 10, FALSE), 1)</f>
        <v>4.9495987362900891E-5</v>
      </c>
      <c r="O12" s="7">
        <f>$B12 * IFERROR(VLOOKUP("LULUCF|SO2|Respiratory hospital admissions", US_national_yearly!$D:$AM, 23, FALSE) / VLOOKUP("LULUCF|SO2|Respiratory hospital admissions", US_national_yearly!$D:$AM, 10, FALSE), 1)</f>
        <v>4.9709534568436481E-5</v>
      </c>
      <c r="P12" s="7">
        <f>$B12 * IFERROR(VLOOKUP("LULUCF|SO2|Respiratory hospital admissions", US_national_yearly!$D:$AM, 24, FALSE) / VLOOKUP("LULUCF|SO2|Respiratory hospital admissions", US_national_yearly!$D:$AM, 10, FALSE), 1)</f>
        <v>4.9923081773972064E-5</v>
      </c>
      <c r="Q12" s="7">
        <f>$B12 * IFERROR(VLOOKUP("LULUCF|SO2|Respiratory hospital admissions", US_national_yearly!$D:$AM, 25, FALSE) / VLOOKUP("LULUCF|SO2|Respiratory hospital admissions", US_national_yearly!$D:$AM, 10, FALSE), 1)</f>
        <v>5.0136628979507667E-5</v>
      </c>
      <c r="R12" s="7">
        <f>$B12 * IFERROR(VLOOKUP("LULUCF|SO2|Respiratory hospital admissions", US_national_yearly!$D:$AM, 26, FALSE) / VLOOKUP("LULUCF|SO2|Respiratory hospital admissions", US_national_yearly!$D:$AM, 10, FALSE), 1)</f>
        <v>5.035017618504325E-5</v>
      </c>
      <c r="S12" s="7">
        <f>$B12 * IFERROR(VLOOKUP("LULUCF|SO2|Respiratory hospital admissions", US_national_yearly!$D:$AM, 27, FALSE) / VLOOKUP("LULUCF|SO2|Respiratory hospital admissions", US_national_yearly!$D:$AM, 10, FALSE), 1)</f>
        <v>5.0553883925012641E-5</v>
      </c>
      <c r="T12" s="7">
        <f>$B12 * IFERROR(VLOOKUP("LULUCF|SO2|Respiratory hospital admissions", US_national_yearly!$D:$AM, 28, FALSE) / VLOOKUP("LULUCF|SO2|Respiratory hospital admissions", US_national_yearly!$D:$AM, 10, FALSE), 1)</f>
        <v>5.0757591664982018E-5</v>
      </c>
      <c r="U12" s="7">
        <f>$B12 * IFERROR(VLOOKUP("LULUCF|SO2|Respiratory hospital admissions", US_national_yearly!$D:$AM, 29, FALSE) / VLOOKUP("LULUCF|SO2|Respiratory hospital admissions", US_national_yearly!$D:$AM, 10, FALSE), 1)</f>
        <v>5.0961299404951402E-5</v>
      </c>
      <c r="V12" s="7">
        <f>$B12 * IFERROR(VLOOKUP("LULUCF|SO2|Respiratory hospital admissions", US_national_yearly!$D:$AM, 30, FALSE) / VLOOKUP("LULUCF|SO2|Respiratory hospital admissions", US_national_yearly!$D:$AM, 10, FALSE), 1)</f>
        <v>5.1165007144920793E-5</v>
      </c>
      <c r="W12" s="7">
        <f>$B12 * IFERROR(VLOOKUP("LULUCF|SO2|Respiratory hospital admissions", US_national_yearly!$D:$AM, 31, FALSE) / VLOOKUP("LULUCF|SO2|Respiratory hospital admissions", US_national_yearly!$D:$AM, 10, FALSE), 1)</f>
        <v>5.1368714884890184E-5</v>
      </c>
      <c r="X12" s="7">
        <f>$B12 * IFERROR(VLOOKUP("LULUCF|SO2|Respiratory hospital admissions", US_national_yearly!$D:$AM, 32, FALSE) / VLOOKUP("LULUCF|SO2|Respiratory hospital admissions", US_national_yearly!$D:$AM, 10, FALSE), 1)</f>
        <v>5.1562000085284792E-5</v>
      </c>
      <c r="Y12" s="7">
        <f>$B12 * IFERROR(VLOOKUP("LULUCF|SO2|Respiratory hospital admissions", US_national_yearly!$D:$AM, 33, FALSE) / VLOOKUP("LULUCF|SO2|Respiratory hospital admissions", US_national_yearly!$D:$AM, 10, FALSE), 1)</f>
        <v>5.1755285285679407E-5</v>
      </c>
      <c r="Z12" s="7">
        <f>$B12 * IFERROR(VLOOKUP("LULUCF|SO2|Respiratory hospital admissions", US_national_yearly!$D:$AM, 34, FALSE) / VLOOKUP("LULUCF|SO2|Respiratory hospital admissions", US_national_yearly!$D:$AM, 10, FALSE), 1)</f>
        <v>5.1948570486074015E-5</v>
      </c>
      <c r="AA12" s="7">
        <f>$B12 * IFERROR(VLOOKUP("LULUCF|SO2|Respiratory hospital admissions", US_national_yearly!$D:$AM, 35, FALSE) / VLOOKUP("LULUCF|SO2|Respiratory hospital admissions", US_national_yearly!$D:$AM, 10, FALSE), 1)</f>
        <v>5.2141855686468629E-5</v>
      </c>
      <c r="AB12" s="7">
        <f>$B12 * IFERROR(VLOOKUP("LULUCF|SO2|Respiratory hospital admissions", US_national_yearly!$D:$AM, 36, FALSE) / VLOOKUP("LULUCF|SO2|Respiratory hospital admissions", US_national_yearly!$D:$AM, 10, FALSE), 1)</f>
        <v>5.2335140886863251E-5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2.8818158259639174E-4</v>
      </c>
      <c r="C13" s="7">
        <f>$B13 * IFERROR(VLOOKUP("LULUCF|SO2|Non-fatal heart attacks", US_national_yearly!$D:$AM, 11, FALSE) / VLOOKUP("LULUCF|SO2|Non-fatal heart attacks", US_national_yearly!$D:$AM, 10, FALSE), 1)</f>
        <v>2.9664154712852065E-4</v>
      </c>
      <c r="D13" s="7">
        <f>$B13 * IFERROR(VLOOKUP("LULUCF|SO2|Non-fatal heart attacks", US_national_yearly!$D:$AM, 12, FALSE) / VLOOKUP("LULUCF|SO2|Non-fatal heart attacks", US_national_yearly!$D:$AM, 10, FALSE), 1)</f>
        <v>3.0510151166064956E-4</v>
      </c>
      <c r="E13" s="7">
        <f>$B13 * IFERROR(VLOOKUP("LULUCF|SO2|Non-fatal heart attacks", US_national_yearly!$D:$AM, 13, FALSE) / VLOOKUP("LULUCF|SO2|Non-fatal heart attacks", US_national_yearly!$D:$AM, 10, FALSE), 1)</f>
        <v>3.1356147619277842E-4</v>
      </c>
      <c r="F13" s="7">
        <f>$B13 * IFERROR(VLOOKUP("LULUCF|SO2|Non-fatal heart attacks", US_national_yearly!$D:$AM, 14, FALSE) / VLOOKUP("LULUCF|SO2|Non-fatal heart attacks", US_national_yearly!$D:$AM, 10, FALSE), 1)</f>
        <v>3.2202144072490728E-4</v>
      </c>
      <c r="G13" s="7">
        <f>$B13 * IFERROR(VLOOKUP("LULUCF|SO2|Non-fatal heart attacks", US_national_yearly!$D:$AM, 15, FALSE) / VLOOKUP("LULUCF|SO2|Non-fatal heart attacks", US_national_yearly!$D:$AM, 10, FALSE), 1)</f>
        <v>3.2999997198835296E-4</v>
      </c>
      <c r="H13" s="7">
        <f>$B13 * IFERROR(VLOOKUP("LULUCF|SO2|Non-fatal heart attacks", US_national_yearly!$D:$AM, 16, FALSE) / VLOOKUP("LULUCF|SO2|Non-fatal heart attacks", US_national_yearly!$D:$AM, 10, FALSE), 1)</f>
        <v>3.379785032517987E-4</v>
      </c>
      <c r="I13" s="7">
        <f>$B13 * IFERROR(VLOOKUP("LULUCF|SO2|Non-fatal heart attacks", US_national_yearly!$D:$AM, 17, FALSE) / VLOOKUP("LULUCF|SO2|Non-fatal heart attacks", US_national_yearly!$D:$AM, 10, FALSE), 1)</f>
        <v>3.4439871976499732E-4</v>
      </c>
      <c r="J13" s="7">
        <f>$B13 * IFERROR(VLOOKUP("LULUCF|SO2|Non-fatal heart attacks", US_national_yearly!$D:$AM, 18, FALSE) / VLOOKUP("LULUCF|SO2|Non-fatal heart attacks", US_national_yearly!$D:$AM, 10, FALSE), 1)</f>
        <v>3.5081893627819606E-4</v>
      </c>
      <c r="K13" s="7">
        <f>$B13 * IFERROR(VLOOKUP("LULUCF|SO2|Non-fatal heart attacks", US_national_yearly!$D:$AM, 19, FALSE) / VLOOKUP("LULUCF|SO2|Non-fatal heart attacks", US_national_yearly!$D:$AM, 10, FALSE), 1)</f>
        <v>3.5723915279139474E-4</v>
      </c>
      <c r="L13" s="7">
        <f>$B13 * IFERROR(VLOOKUP("LULUCF|SO2|Non-fatal heart attacks", US_national_yearly!$D:$AM, 20, FALSE) / VLOOKUP("LULUCF|SO2|Non-fatal heart attacks", US_national_yearly!$D:$AM, 10, FALSE), 1)</f>
        <v>3.6365936930459348E-4</v>
      </c>
      <c r="M13" s="7">
        <f>$B13 * IFERROR(VLOOKUP("LULUCF|SO2|Non-fatal heart attacks", US_national_yearly!$D:$AM, 21, FALSE) / VLOOKUP("LULUCF|SO2|Non-fatal heart attacks", US_national_yearly!$D:$AM, 10, FALSE), 1)</f>
        <v>3.7007958581779222E-4</v>
      </c>
      <c r="N13" s="7">
        <f>$B13 * IFERROR(VLOOKUP("LULUCF|SO2|Non-fatal heart attacks", US_national_yearly!$D:$AM, 22, FALSE) / VLOOKUP("LULUCF|SO2|Non-fatal heart attacks", US_national_yearly!$D:$AM, 10, FALSE), 1)</f>
        <v>3.7424830996631871E-4</v>
      </c>
      <c r="O13" s="7">
        <f>$B13 * IFERROR(VLOOKUP("LULUCF|SO2|Non-fatal heart attacks", US_national_yearly!$D:$AM, 23, FALSE) / VLOOKUP("LULUCF|SO2|Non-fatal heart attacks", US_national_yearly!$D:$AM, 10, FALSE), 1)</f>
        <v>3.7841703411484531E-4</v>
      </c>
      <c r="P13" s="7">
        <f>$B13 * IFERROR(VLOOKUP("LULUCF|SO2|Non-fatal heart attacks", US_national_yearly!$D:$AM, 24, FALSE) / VLOOKUP("LULUCF|SO2|Non-fatal heart attacks", US_national_yearly!$D:$AM, 10, FALSE), 1)</f>
        <v>3.8258575826337186E-4</v>
      </c>
      <c r="Q13" s="7">
        <f>$B13 * IFERROR(VLOOKUP("LULUCF|SO2|Non-fatal heart attacks", US_national_yearly!$D:$AM, 25, FALSE) / VLOOKUP("LULUCF|SO2|Non-fatal heart attacks", US_national_yearly!$D:$AM, 10, FALSE), 1)</f>
        <v>3.8675448241189841E-4</v>
      </c>
      <c r="R13" s="7">
        <f>$B13 * IFERROR(VLOOKUP("LULUCF|SO2|Non-fatal heart attacks", US_national_yearly!$D:$AM, 26, FALSE) / VLOOKUP("LULUCF|SO2|Non-fatal heart attacks", US_national_yearly!$D:$AM, 10, FALSE), 1)</f>
        <v>3.9092320656042496E-4</v>
      </c>
      <c r="S13" s="7">
        <f>$B13 * IFERROR(VLOOKUP("LULUCF|SO2|Non-fatal heart attacks", US_national_yearly!$D:$AM, 27, FALSE) / VLOOKUP("LULUCF|SO2|Non-fatal heart attacks", US_national_yearly!$D:$AM, 10, FALSE), 1)</f>
        <v>3.9309967399017676E-4</v>
      </c>
      <c r="T13" s="7">
        <f>$B13 * IFERROR(VLOOKUP("LULUCF|SO2|Non-fatal heart attacks", US_national_yearly!$D:$AM, 28, FALSE) / VLOOKUP("LULUCF|SO2|Non-fatal heart attacks", US_national_yearly!$D:$AM, 10, FALSE), 1)</f>
        <v>3.9527614141992857E-4</v>
      </c>
      <c r="U13" s="7">
        <f>$B13 * IFERROR(VLOOKUP("LULUCF|SO2|Non-fatal heart attacks", US_national_yearly!$D:$AM, 29, FALSE) / VLOOKUP("LULUCF|SO2|Non-fatal heart attacks", US_national_yearly!$D:$AM, 10, FALSE), 1)</f>
        <v>3.9745260884968027E-4</v>
      </c>
      <c r="V13" s="7">
        <f>$B13 * IFERROR(VLOOKUP("LULUCF|SO2|Non-fatal heart attacks", US_national_yearly!$D:$AM, 30, FALSE) / VLOOKUP("LULUCF|SO2|Non-fatal heart attacks", US_national_yearly!$D:$AM, 10, FALSE), 1)</f>
        <v>3.9962907627943202E-4</v>
      </c>
      <c r="W13" s="7">
        <f>$B13 * IFERROR(VLOOKUP("LULUCF|SO2|Non-fatal heart attacks", US_national_yearly!$D:$AM, 31, FALSE) / VLOOKUP("LULUCF|SO2|Non-fatal heart attacks", US_national_yearly!$D:$AM, 10, FALSE), 1)</f>
        <v>4.0180554370918388E-4</v>
      </c>
      <c r="X13" s="7">
        <f>$B13 * IFERROR(VLOOKUP("LULUCF|SO2|Non-fatal heart attacks", US_national_yearly!$D:$AM, 32, FALSE) / VLOOKUP("LULUCF|SO2|Non-fatal heart attacks", US_national_yearly!$D:$AM, 10, FALSE), 1)</f>
        <v>4.0344858623465841E-4</v>
      </c>
      <c r="Y13" s="7">
        <f>$B13 * IFERROR(VLOOKUP("LULUCF|SO2|Non-fatal heart attacks", US_national_yearly!$D:$AM, 33, FALSE) / VLOOKUP("LULUCF|SO2|Non-fatal heart attacks", US_national_yearly!$D:$AM, 10, FALSE), 1)</f>
        <v>4.0509162876013294E-4</v>
      </c>
      <c r="Z13" s="7">
        <f>$B13 * IFERROR(VLOOKUP("LULUCF|SO2|Non-fatal heart attacks", US_national_yearly!$D:$AM, 34, FALSE) / VLOOKUP("LULUCF|SO2|Non-fatal heart attacks", US_national_yearly!$D:$AM, 10, FALSE), 1)</f>
        <v>4.0673467128560752E-4</v>
      </c>
      <c r="AA13" s="7">
        <f>$B13 * IFERROR(VLOOKUP("LULUCF|SO2|Non-fatal heart attacks", US_national_yearly!$D:$AM, 35, FALSE) / VLOOKUP("LULUCF|SO2|Non-fatal heart attacks", US_national_yearly!$D:$AM, 10, FALSE), 1)</f>
        <v>4.0837771381108204E-4</v>
      </c>
      <c r="AB13" s="7">
        <f>$B13 * IFERROR(VLOOKUP("LULUCF|SO2|Non-fatal heart attacks", US_national_yearly!$D:$AM, 36, FALSE) / VLOOKUP("LULUCF|SO2|Non-fatal heart attacks", US_national_yearly!$D:$AM, 10, FALSE), 1)</f>
        <v>4.1002075633655657E-4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0.20792760165237026</v>
      </c>
      <c r="C14" s="7">
        <f>$B14 * IFERROR(VLOOKUP("LULUCF|SO2|Minor restricted activity days", US_national_yearly!$D:$AM, 11, FALSE) / VLOOKUP("LULUCF|SO2|Minor restricted activity days", US_national_yearly!$D:$AM, 10, FALSE), 1)</f>
        <v>0.20845171785625541</v>
      </c>
      <c r="D14" s="7">
        <f>$B14 * IFERROR(VLOOKUP("LULUCF|SO2|Minor restricted activity days", US_national_yearly!$D:$AM, 12, FALSE) / VLOOKUP("LULUCF|SO2|Minor restricted activity days", US_national_yearly!$D:$AM, 10, FALSE), 1)</f>
        <v>0.2089758340601405</v>
      </c>
      <c r="E14" s="7">
        <f>$B14 * IFERROR(VLOOKUP("LULUCF|SO2|Minor restricted activity days", US_national_yearly!$D:$AM, 13, FALSE) / VLOOKUP("LULUCF|SO2|Minor restricted activity days", US_national_yearly!$D:$AM, 10, FALSE), 1)</f>
        <v>0.20949995026402563</v>
      </c>
      <c r="F14" s="7">
        <f>$B14 * IFERROR(VLOOKUP("LULUCF|SO2|Minor restricted activity days", US_national_yearly!$D:$AM, 14, FALSE) / VLOOKUP("LULUCF|SO2|Minor restricted activity days", US_national_yearly!$D:$AM, 10, FALSE), 1)</f>
        <v>0.21002406646791072</v>
      </c>
      <c r="G14" s="7">
        <f>$B14 * IFERROR(VLOOKUP("LULUCF|SO2|Minor restricted activity days", US_national_yearly!$D:$AM, 15, FALSE) / VLOOKUP("LULUCF|SO2|Minor restricted activity days", US_national_yearly!$D:$AM, 10, FALSE), 1)</f>
        <v>0.21079551403056623</v>
      </c>
      <c r="H14" s="7">
        <f>$B14 * IFERROR(VLOOKUP("LULUCF|SO2|Minor restricted activity days", US_national_yearly!$D:$AM, 16, FALSE) / VLOOKUP("LULUCF|SO2|Minor restricted activity days", US_national_yearly!$D:$AM, 10, FALSE), 1)</f>
        <v>0.21156696159322175</v>
      </c>
      <c r="I14" s="7">
        <f>$B14 * IFERROR(VLOOKUP("LULUCF|SO2|Minor restricted activity days", US_national_yearly!$D:$AM, 17, FALSE) / VLOOKUP("LULUCF|SO2|Minor restricted activity days", US_national_yearly!$D:$AM, 10, FALSE), 1)</f>
        <v>0.212882593503993</v>
      </c>
      <c r="J14" s="7">
        <f>$B14 * IFERROR(VLOOKUP("LULUCF|SO2|Minor restricted activity days", US_national_yearly!$D:$AM, 18, FALSE) / VLOOKUP("LULUCF|SO2|Minor restricted activity days", US_national_yearly!$D:$AM, 10, FALSE), 1)</f>
        <v>0.21419822541476422</v>
      </c>
      <c r="K14" s="7">
        <f>$B14 * IFERROR(VLOOKUP("LULUCF|SO2|Minor restricted activity days", US_national_yearly!$D:$AM, 19, FALSE) / VLOOKUP("LULUCF|SO2|Minor restricted activity days", US_national_yearly!$D:$AM, 10, FALSE), 1)</f>
        <v>0.21551385732553549</v>
      </c>
      <c r="L14" s="7">
        <f>$B14 * IFERROR(VLOOKUP("LULUCF|SO2|Minor restricted activity days", US_national_yearly!$D:$AM, 20, FALSE) / VLOOKUP("LULUCF|SO2|Minor restricted activity days", US_national_yearly!$D:$AM, 10, FALSE), 1)</f>
        <v>0.21682948923630671</v>
      </c>
      <c r="M14" s="7">
        <f>$B14 * IFERROR(VLOOKUP("LULUCF|SO2|Minor restricted activity days", US_national_yearly!$D:$AM, 21, FALSE) / VLOOKUP("LULUCF|SO2|Minor restricted activity days", US_national_yearly!$D:$AM, 10, FALSE), 1)</f>
        <v>0.21814512114707796</v>
      </c>
      <c r="N14" s="7">
        <f>$B14 * IFERROR(VLOOKUP("LULUCF|SO2|Minor restricted activity days", US_national_yearly!$D:$AM, 22, FALSE) / VLOOKUP("LULUCF|SO2|Minor restricted activity days", US_national_yearly!$D:$AM, 10, FALSE), 1)</f>
        <v>0.21994469449606063</v>
      </c>
      <c r="O14" s="7">
        <f>$B14 * IFERROR(VLOOKUP("LULUCF|SO2|Minor restricted activity days", US_national_yearly!$D:$AM, 23, FALSE) / VLOOKUP("LULUCF|SO2|Minor restricted activity days", US_national_yearly!$D:$AM, 10, FALSE), 1)</f>
        <v>0.22174426784504334</v>
      </c>
      <c r="P14" s="7">
        <f>$B14 * IFERROR(VLOOKUP("LULUCF|SO2|Minor restricted activity days", US_national_yearly!$D:$AM, 24, FALSE) / VLOOKUP("LULUCF|SO2|Minor restricted activity days", US_national_yearly!$D:$AM, 10, FALSE), 1)</f>
        <v>0.22354384119402604</v>
      </c>
      <c r="Q14" s="7">
        <f>$B14 * IFERROR(VLOOKUP("LULUCF|SO2|Minor restricted activity days", US_national_yearly!$D:$AM, 25, FALSE) / VLOOKUP("LULUCF|SO2|Minor restricted activity days", US_national_yearly!$D:$AM, 10, FALSE), 1)</f>
        <v>0.22534341454300874</v>
      </c>
      <c r="R14" s="7">
        <f>$B14 * IFERROR(VLOOKUP("LULUCF|SO2|Minor restricted activity days", US_national_yearly!$D:$AM, 26, FALSE) / VLOOKUP("LULUCF|SO2|Minor restricted activity days", US_national_yearly!$D:$AM, 10, FALSE), 1)</f>
        <v>0.22714298789199144</v>
      </c>
      <c r="S14" s="7">
        <f>$B14 * IFERROR(VLOOKUP("LULUCF|SO2|Minor restricted activity days", US_national_yearly!$D:$AM, 27, FALSE) / VLOOKUP("LULUCF|SO2|Minor restricted activity days", US_national_yearly!$D:$AM, 10, FALSE), 1)</f>
        <v>0.22897782905258607</v>
      </c>
      <c r="T14" s="7">
        <f>$B14 * IFERROR(VLOOKUP("LULUCF|SO2|Minor restricted activity days", US_national_yearly!$D:$AM, 28, FALSE) / VLOOKUP("LULUCF|SO2|Minor restricted activity days", US_national_yearly!$D:$AM, 10, FALSE), 1)</f>
        <v>0.23081267021318069</v>
      </c>
      <c r="U14" s="7">
        <f>$B14 * IFERROR(VLOOKUP("LULUCF|SO2|Minor restricted activity days", US_national_yearly!$D:$AM, 29, FALSE) / VLOOKUP("LULUCF|SO2|Minor restricted activity days", US_national_yearly!$D:$AM, 10, FALSE), 1)</f>
        <v>0.23264751137377535</v>
      </c>
      <c r="V14" s="7">
        <f>$B14 * IFERROR(VLOOKUP("LULUCF|SO2|Minor restricted activity days", US_national_yearly!$D:$AM, 30, FALSE) / VLOOKUP("LULUCF|SO2|Minor restricted activity days", US_national_yearly!$D:$AM, 10, FALSE), 1)</f>
        <v>0.23448235253436997</v>
      </c>
      <c r="W14" s="7">
        <f>$B14 * IFERROR(VLOOKUP("LULUCF|SO2|Minor restricted activity days", US_national_yearly!$D:$AM, 31, FALSE) / VLOOKUP("LULUCF|SO2|Minor restricted activity days", US_national_yearly!$D:$AM, 10, FALSE), 1)</f>
        <v>0.23631719369496465</v>
      </c>
      <c r="X14" s="7">
        <f>$B14 * IFERROR(VLOOKUP("LULUCF|SO2|Minor restricted activity days", US_national_yearly!$D:$AM, 32, FALSE) / VLOOKUP("LULUCF|SO2|Minor restricted activity days", US_national_yearly!$D:$AM, 10, FALSE), 1)</f>
        <v>0.23793079027938724</v>
      </c>
      <c r="Y14" s="7">
        <f>$B14 * IFERROR(VLOOKUP("LULUCF|SO2|Minor restricted activity days", US_national_yearly!$D:$AM, 33, FALSE) / VLOOKUP("LULUCF|SO2|Minor restricted activity days", US_national_yearly!$D:$AM, 10, FALSE), 1)</f>
        <v>0.23954438686380983</v>
      </c>
      <c r="Z14" s="7">
        <f>$B14 * IFERROR(VLOOKUP("LULUCF|SO2|Minor restricted activity days", US_national_yearly!$D:$AM, 34, FALSE) / VLOOKUP("LULUCF|SO2|Minor restricted activity days", US_national_yearly!$D:$AM, 10, FALSE), 1)</f>
        <v>0.24115798344823247</v>
      </c>
      <c r="AA14" s="7">
        <f>$B14 * IFERROR(VLOOKUP("LULUCF|SO2|Minor restricted activity days", US_national_yearly!$D:$AM, 35, FALSE) / VLOOKUP("LULUCF|SO2|Minor restricted activity days", US_national_yearly!$D:$AM, 10, FALSE), 1)</f>
        <v>0.24277158003265506</v>
      </c>
      <c r="AB14" s="7">
        <f>$B14 * IFERROR(VLOOKUP("LULUCF|SO2|Minor restricted activity days", US_national_yearly!$D:$AM, 36, FALSE) / VLOOKUP("LULUCF|SO2|Minor restricted activity days", US_national_yearly!$D:$AM, 10, FALSE), 1)</f>
        <v>0.2443851766170777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3.511417201134532E-2</v>
      </c>
      <c r="C15" s="7">
        <f>$B15 * IFERROR(VLOOKUP("LULUCF|SO2|Work loss days", US_national_yearly!$D:$AM, 11, FALSE) / VLOOKUP("LULUCF|SO2|Work loss days", US_national_yearly!$D:$AM, 10, FALSE), 1)</f>
        <v>3.5227936347758095E-2</v>
      </c>
      <c r="D15" s="7">
        <f>$B15 * IFERROR(VLOOKUP("LULUCF|SO2|Work loss days", US_national_yearly!$D:$AM, 12, FALSE) / VLOOKUP("LULUCF|SO2|Work loss days", US_national_yearly!$D:$AM, 10, FALSE), 1)</f>
        <v>3.5341700684170869E-2</v>
      </c>
      <c r="E15" s="7">
        <f>$B15 * IFERROR(VLOOKUP("LULUCF|SO2|Work loss days", US_national_yearly!$D:$AM, 13, FALSE) / VLOOKUP("LULUCF|SO2|Work loss days", US_national_yearly!$D:$AM, 10, FALSE), 1)</f>
        <v>3.5455465020583644E-2</v>
      </c>
      <c r="F15" s="7">
        <f>$B15 * IFERROR(VLOOKUP("LULUCF|SO2|Work loss days", US_national_yearly!$D:$AM, 14, FALSE) / VLOOKUP("LULUCF|SO2|Work loss days", US_national_yearly!$D:$AM, 10, FALSE), 1)</f>
        <v>3.5569229356996419E-2</v>
      </c>
      <c r="G15" s="7">
        <f>$B15 * IFERROR(VLOOKUP("LULUCF|SO2|Work loss days", US_national_yearly!$D:$AM, 15, FALSE) / VLOOKUP("LULUCF|SO2|Work loss days", US_national_yearly!$D:$AM, 10, FALSE), 1)</f>
        <v>3.571787638247597E-2</v>
      </c>
      <c r="H15" s="7">
        <f>$B15 * IFERROR(VLOOKUP("LULUCF|SO2|Work loss days", US_national_yearly!$D:$AM, 16, FALSE) / VLOOKUP("LULUCF|SO2|Work loss days", US_national_yearly!$D:$AM, 10, FALSE), 1)</f>
        <v>3.5866523407955514E-2</v>
      </c>
      <c r="I15" s="7">
        <f>$B15 * IFERROR(VLOOKUP("LULUCF|SO2|Work loss days", US_national_yearly!$D:$AM, 17, FALSE) / VLOOKUP("LULUCF|SO2|Work loss days", US_national_yearly!$D:$AM, 10, FALSE), 1)</f>
        <v>3.6083974051808528E-2</v>
      </c>
      <c r="J15" s="7">
        <f>$B15 * IFERROR(VLOOKUP("LULUCF|SO2|Work loss days", US_national_yearly!$D:$AM, 18, FALSE) / VLOOKUP("LULUCF|SO2|Work loss days", US_national_yearly!$D:$AM, 10, FALSE), 1)</f>
        <v>3.6301424695661534E-2</v>
      </c>
      <c r="K15" s="7">
        <f>$B15 * IFERROR(VLOOKUP("LULUCF|SO2|Work loss days", US_national_yearly!$D:$AM, 19, FALSE) / VLOOKUP("LULUCF|SO2|Work loss days", US_national_yearly!$D:$AM, 10, FALSE), 1)</f>
        <v>3.6518875339514548E-2</v>
      </c>
      <c r="L15" s="7">
        <f>$B15 * IFERROR(VLOOKUP("LULUCF|SO2|Work loss days", US_national_yearly!$D:$AM, 20, FALSE) / VLOOKUP("LULUCF|SO2|Work loss days", US_national_yearly!$D:$AM, 10, FALSE), 1)</f>
        <v>3.6736325983367561E-2</v>
      </c>
      <c r="M15" s="7">
        <f>$B15 * IFERROR(VLOOKUP("LULUCF|SO2|Work loss days", US_national_yearly!$D:$AM, 21, FALSE) / VLOOKUP("LULUCF|SO2|Work loss days", US_national_yearly!$D:$AM, 10, FALSE), 1)</f>
        <v>3.6953776627220575E-2</v>
      </c>
      <c r="N15" s="7">
        <f>$B15 * IFERROR(VLOOKUP("LULUCF|SO2|Work loss days", US_national_yearly!$D:$AM, 22, FALSE) / VLOOKUP("LULUCF|SO2|Work loss days", US_national_yearly!$D:$AM, 10, FALSE), 1)</f>
        <v>3.7226424496609699E-2</v>
      </c>
      <c r="O15" s="7">
        <f>$B15 * IFERROR(VLOOKUP("LULUCF|SO2|Work loss days", US_national_yearly!$D:$AM, 23, FALSE) / VLOOKUP("LULUCF|SO2|Work loss days", US_national_yearly!$D:$AM, 10, FALSE), 1)</f>
        <v>3.7499072365998823E-2</v>
      </c>
      <c r="P15" s="7">
        <f>$B15 * IFERROR(VLOOKUP("LULUCF|SO2|Work loss days", US_national_yearly!$D:$AM, 24, FALSE) / VLOOKUP("LULUCF|SO2|Work loss days", US_national_yearly!$D:$AM, 10, FALSE), 1)</f>
        <v>3.7771720235387933E-2</v>
      </c>
      <c r="Q15" s="7">
        <f>$B15 * IFERROR(VLOOKUP("LULUCF|SO2|Work loss days", US_national_yearly!$D:$AM, 25, FALSE) / VLOOKUP("LULUCF|SO2|Work loss days", US_national_yearly!$D:$AM, 10, FALSE), 1)</f>
        <v>3.8044368104777057E-2</v>
      </c>
      <c r="R15" s="7">
        <f>$B15 * IFERROR(VLOOKUP("LULUCF|SO2|Work loss days", US_national_yearly!$D:$AM, 26, FALSE) / VLOOKUP("LULUCF|SO2|Work loss days", US_national_yearly!$D:$AM, 10, FALSE), 1)</f>
        <v>3.8317015974166181E-2</v>
      </c>
      <c r="S15" s="7">
        <f>$B15 * IFERROR(VLOOKUP("LULUCF|SO2|Work loss days", US_national_yearly!$D:$AM, 27, FALSE) / VLOOKUP("LULUCF|SO2|Work loss days", US_national_yearly!$D:$AM, 10, FALSE), 1)</f>
        <v>3.8621699069299978E-2</v>
      </c>
      <c r="T15" s="7">
        <f>$B15 * IFERROR(VLOOKUP("LULUCF|SO2|Work loss days", US_national_yearly!$D:$AM, 28, FALSE) / VLOOKUP("LULUCF|SO2|Work loss days", US_national_yearly!$D:$AM, 10, FALSE), 1)</f>
        <v>3.8926382164433788E-2</v>
      </c>
      <c r="U15" s="7">
        <f>$B15 * IFERROR(VLOOKUP("LULUCF|SO2|Work loss days", US_national_yearly!$D:$AM, 29, FALSE) / VLOOKUP("LULUCF|SO2|Work loss days", US_national_yearly!$D:$AM, 10, FALSE), 1)</f>
        <v>3.9231065259567585E-2</v>
      </c>
      <c r="V15" s="7">
        <f>$B15 * IFERROR(VLOOKUP("LULUCF|SO2|Work loss days", US_national_yearly!$D:$AM, 30, FALSE) / VLOOKUP("LULUCF|SO2|Work loss days", US_national_yearly!$D:$AM, 10, FALSE), 1)</f>
        <v>3.9535748354701382E-2</v>
      </c>
      <c r="W15" s="7">
        <f>$B15 * IFERROR(VLOOKUP("LULUCF|SO2|Work loss days", US_national_yearly!$D:$AM, 31, FALSE) / VLOOKUP("LULUCF|SO2|Work loss days", US_national_yearly!$D:$AM, 10, FALSE), 1)</f>
        <v>3.9840431449835186E-2</v>
      </c>
      <c r="X15" s="7">
        <f>$B15 * IFERROR(VLOOKUP("LULUCF|SO2|Work loss days", US_national_yearly!$D:$AM, 32, FALSE) / VLOOKUP("LULUCF|SO2|Work loss days", US_national_yearly!$D:$AM, 10, FALSE), 1)</f>
        <v>4.0113994872778745E-2</v>
      </c>
      <c r="Y15" s="7">
        <f>$B15 * IFERROR(VLOOKUP("LULUCF|SO2|Work loss days", US_national_yearly!$D:$AM, 33, FALSE) / VLOOKUP("LULUCF|SO2|Work loss days", US_national_yearly!$D:$AM, 10, FALSE), 1)</f>
        <v>4.0387558295722305E-2</v>
      </c>
      <c r="Z15" s="7">
        <f>$B15 * IFERROR(VLOOKUP("LULUCF|SO2|Work loss days", US_national_yearly!$D:$AM, 34, FALSE) / VLOOKUP("LULUCF|SO2|Work loss days", US_national_yearly!$D:$AM, 10, FALSE), 1)</f>
        <v>4.0661121718665871E-2</v>
      </c>
      <c r="AA15" s="7">
        <f>$B15 * IFERROR(VLOOKUP("LULUCF|SO2|Work loss days", US_national_yearly!$D:$AM, 35, FALSE) / VLOOKUP("LULUCF|SO2|Work loss days", US_national_yearly!$D:$AM, 10, FALSE), 1)</f>
        <v>4.0934685141609438E-2</v>
      </c>
      <c r="AB15" s="7">
        <f>$B15 * IFERROR(VLOOKUP("LULUCF|SO2|Work loss days", US_national_yearly!$D:$AM, 36, FALSE) / VLOOKUP("LULUCF|SO2|Work loss days", US_national_yearly!$D:$AM, 10, FALSE), 1)</f>
        <v>4.1208248564552998E-2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7.4434326297881441E-5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7.6685505365559027E-5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7.8936684433236626E-5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8.1187863500914212E-5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8.3439042568591825E-5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8.5595458061755311E-5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8.7751873554918825E-5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8.9599500811750042E-5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9.144712806858126E-5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9.3294755325412464E-5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9.5142382582243682E-5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9.6990009839074886E-5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9.8231194485074748E-5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9.9472379131074597E-5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1.0071356377707445E-4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1.0195474842307429E-4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1.0319593306907416E-4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1.0384870782044074E-4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1.0450148257180732E-4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1.0515425732317392E-4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1.058070320745405E-4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1.0645980682590709E-4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1.0689803609558409E-4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1.073362653652611E-4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1.077744946349381E-4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1.0821272390461513E-4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1.0865095317429211E-4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2026-06-15T17:16:05Z</dcterms:modified>
</cp:coreProperties>
</file>