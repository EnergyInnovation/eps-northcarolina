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C\add-outputs\NoH\"/>
    </mc:Choice>
  </mc:AlternateContent>
  <xr:revisionPtr revIDLastSave="0" documentId="8_{0289A23A-DEF8-43BF-96B0-6D3C32396FC4}"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U2" i="3"/>
  <c r="D2" i="3"/>
  <c r="Z2" i="3"/>
  <c r="AB2" i="3"/>
  <c r="T2" i="3"/>
  <c r="E2" i="3"/>
  <c r="AA2" i="3"/>
  <c r="AC2" i="3"/>
  <c r="R2" i="3"/>
  <c r="G2" i="3"/>
  <c r="H2" i="3"/>
  <c r="AD2" i="3"/>
  <c r="I2" i="3"/>
  <c r="AE2" i="3"/>
  <c r="W2" i="3"/>
  <c r="J2" i="3"/>
  <c r="B2" i="3"/>
  <c r="S2" i="3"/>
  <c r="V2" i="3"/>
  <c r="K2" i="3"/>
  <c r="L2" i="3"/>
  <c r="M2" i="3"/>
  <c r="Q2" i="3"/>
  <c r="X2" i="3"/>
  <c r="N2" i="3"/>
  <c r="O2" i="3"/>
  <c r="P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<sst xmlns="http://schemas.openxmlformats.org/spreadsheetml/2006/main" count="1069" uniqueCount="448">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</sst>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390</v>
      </c>
      <c r="C1" s="68">
        <v>46185</v>
      </c>
      <c r="H1" t="s">
        <v>324</v>
      </c>
      <c r="I1" t="s">
        <v>325</v>
      </c>
    </row>
    <row r="2" spans="1:9" x14ac:dyDescent="0.25">
      <c r="B2" t="str">
        <f>VLOOKUP(B1,H2:I52,2)</f>
        <v>NC</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4186767.822678898</v>
      </c>
      <c r="C2">
        <f>SUMIFS('state calcs'!C62:C112,'state calcs'!$A$62:$A$112,About!$B$2)</f>
        <v>4258219.6808284158</v>
      </c>
      <c r="D2">
        <f>SUMIFS('state calcs'!D62:D112,'state calcs'!$A$62:$A$112,About!$B$2)</f>
        <v>4304582.0983745642</v>
      </c>
      <c r="E2">
        <f>SUMIFS('state calcs'!E62:E112,'state calcs'!$A$62:$A$112,About!$B$2)</f>
        <v>4351064.281750449</v>
      </c>
      <c r="F2">
        <f>SUMIFS('state calcs'!F62:F112,'state calcs'!$A$62:$A$112,About!$B$2)</f>
        <v>4398503.8656522119</v>
      </c>
      <c r="G2">
        <f>SUMIFS('state calcs'!G62:G112,'state calcs'!$A$62:$A$112,About!$B$2)</f>
        <v>4445877.9882918103</v>
      </c>
      <c r="H2">
        <f>SUMIFS('state calcs'!H62:H112,'state calcs'!$A$62:$A$112,About!$B$2)</f>
        <v>4493503.6098537399</v>
      </c>
      <c r="I2">
        <f>SUMIFS('state calcs'!I62:I112,'state calcs'!$A$62:$A$112,About!$B$2)</f>
        <v>4541463.7114544548</v>
      </c>
      <c r="J2">
        <f>SUMIFS('state calcs'!J62:J112,'state calcs'!$A$62:$A$112,About!$B$2)</f>
        <v>4589152.6346375979</v>
      </c>
      <c r="K2">
        <f>SUMIFS('state calcs'!K62:K112,'state calcs'!$A$62:$A$112,About!$B$2)</f>
        <v>4635831.1473984905</v>
      </c>
      <c r="L2">
        <f>SUMIFS('state calcs'!L62:L112,'state calcs'!$A$62:$A$112,About!$B$2)</f>
        <v>4683804.0783387208</v>
      </c>
      <c r="M2">
        <f>SUMIFS('state calcs'!M62:M112,'state calcs'!$A$62:$A$112,About!$B$2)</f>
        <v>4731565.0419259062</v>
      </c>
      <c r="N2">
        <f>SUMIFS('state calcs'!N62:N112,'state calcs'!$A$62:$A$112,About!$B$2)</f>
        <v>4778545.6945873657</v>
      </c>
      <c r="O2">
        <f>SUMIFS('state calcs'!O62:O112,'state calcs'!$A$62:$A$112,About!$B$2)</f>
        <v>4824390.4601952825</v>
      </c>
      <c r="P2">
        <f>SUMIFS('state calcs'!P62:P112,'state calcs'!$A$62:$A$112,About!$B$2)</f>
        <v>4869789.8864511661</v>
      </c>
      <c r="Q2">
        <f>SUMIFS('state calcs'!Q62:Q112,'state calcs'!$A$62:$A$112,About!$B$2)</f>
        <v>4915307.5292447871</v>
      </c>
      <c r="R2">
        <f>SUMIFS('state calcs'!R62:R112,'state calcs'!$A$62:$A$112,About!$B$2)</f>
        <v>4960650.6510835188</v>
      </c>
      <c r="S2">
        <f>SUMIFS('state calcs'!S62:S112,'state calcs'!$A$62:$A$112,About!$B$2)</f>
        <v>5005900.0664792322</v>
      </c>
      <c r="T2">
        <f>SUMIFS('state calcs'!T62:T112,'state calcs'!$A$62:$A$112,About!$B$2)</f>
        <v>5050939.8856709441</v>
      </c>
      <c r="U2">
        <f>SUMIFS('state calcs'!U62:U112,'state calcs'!$A$62:$A$112,About!$B$2)</f>
        <v>5096457.4293269971</v>
      </c>
      <c r="V2">
        <f>SUMIFS('state calcs'!V62:V112,'state calcs'!$A$62:$A$112,About!$B$2)</f>
        <v>5141530.0879973397</v>
      </c>
      <c r="W2">
        <f>SUMIFS('state calcs'!W62:W112,'state calcs'!$A$62:$A$112,About!$B$2)</f>
        <v>5186110.61973044</v>
      </c>
      <c r="X2">
        <f>SUMIFS('state calcs'!X62:X112,'state calcs'!$A$62:$A$112,About!$B$2)</f>
        <v>5230476.1305198614</v>
      </c>
      <c r="Y2">
        <f>SUMIFS('state calcs'!Y62:Y112,'state calcs'!$A$62:$A$112,About!$B$2)</f>
        <v>5274651.8851608867</v>
      </c>
      <c r="Z2">
        <f>SUMIFS('state calcs'!Z62:Z112,'state calcs'!$A$62:$A$112,About!$B$2)</f>
        <v>5318674.1280110003</v>
      </c>
      <c r="AA2">
        <f>SUMIFS('state calcs'!AA62:AA112,'state calcs'!$A$62:$A$112,About!$B$2)</f>
        <v>5362407.6671068305</v>
      </c>
      <c r="AB2">
        <f>SUMIFS('state calcs'!AB62:AB112,'state calcs'!$A$62:$A$112,About!$B$2)</f>
        <v>5406077.2063954789</v>
      </c>
      <c r="AC2">
        <f>SUMIFS('state calcs'!AC62:AC112,'state calcs'!$A$62:$A$112,About!$B$2)</f>
        <v>5449428.0361848986</v>
      </c>
      <c r="AD2">
        <f>SUMIFS('state calcs'!AD62:AD112,'state calcs'!$A$62:$A$112,About!$B$2)</f>
        <v>5492420.5753147267</v>
      </c>
      <c r="AE2">
        <f>SUMIFS('state calcs'!AE62:AE112,'state calcs'!$A$62:$A$112,About!$B$2)</f>
        <v>5535160.8954589181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2026-06-12T19:29:11Z</dcterms:modified>
</cp:coreProperties>
</file>