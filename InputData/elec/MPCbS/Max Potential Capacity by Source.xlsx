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elec\MPCbS\"/>
    </mc:Choice>
  </mc:AlternateContent>
  <xr:revisionPtr revIDLastSave="0" documentId="8_{DB43A78F-9099-4930-87B5-748E3F28C2EE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9" l="1"/>
  <c r="B1" i="9" s="1"/>
  <c r="B10" i="3" s="1"/>
  <c r="B21" i="3" s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<sst xmlns="http://schemas.openxmlformats.org/spreadsheetml/2006/main" count="914" uniqueCount="279">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</sst>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164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NC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NC</v>
      </c>
      <c r="B1" s="32">
        <f>SUMIFS(E3:E52,A3:A52,A1)</f>
        <v>2408000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NC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NC</v>
      </c>
      <c r="B1" s="32">
        <f>SUMIFS(C4:C53,A4:A53,A1)</f>
        <v>306000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North Carolina</v>
      </c>
      <c r="B1" s="32" t="str">
        <f>LOOKUP(A1,M4:N53,N4:N53)</f>
        <v>NC</v>
      </c>
      <c r="C1" s="32">
        <f>SUMIFS(L5:L52,A5:A52,B1)</f>
        <v>77642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NC</v>
      </c>
      <c r="B1" s="32">
        <f>SUMIFS(D4:D53,A4:A53,A1)</f>
        <v>2715.2641878669278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NC</v>
      </c>
      <c r="B1" s="32">
        <f>SUMIFS(C3:C52,A3:A52,A1)</f>
        <v>53000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NC</v>
      </c>
      <c r="B1" s="32">
        <f>SUMIFS(D5:D54,A5:A54,A1)</f>
        <v>693.37899543379001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693.37899543379001</v>
      </c>
    </row>
    <row r="7" spans="1:2" x14ac:dyDescent="0.75">
      <c r="A7" t="s">
        <v>55</v>
      </c>
      <c r="B7">
        <f>'onshore wind'!C1</f>
        <v>77642</v>
      </c>
    </row>
    <row r="8" spans="1:2" x14ac:dyDescent="0.75">
      <c r="A8" t="s">
        <v>33</v>
      </c>
      <c r="B8">
        <f>'solar PV'!B1</f>
        <v>2408000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2715.2641878669278</v>
      </c>
    </row>
    <row r="11" spans="1:2" x14ac:dyDescent="0.75">
      <c r="A11" t="s">
        <v>39</v>
      </c>
      <c r="B11">
        <f>geothermal!B1</f>
        <v>53000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306000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255.23260714327344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2715.2641878669278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2023-11-07T21:44:44Z</dcterms:modified>
</cp:coreProperties>
</file>